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N50" i="1"/>
  <c r="P30"/>
  <c r="P40"/>
  <c r="P23"/>
  <c r="P46"/>
  <c r="P36"/>
  <c r="P5"/>
  <c r="P17"/>
  <c r="P34"/>
  <c r="P24"/>
  <c r="P19"/>
  <c r="P33"/>
  <c r="P18"/>
  <c r="P29"/>
  <c r="P20"/>
  <c r="P47"/>
  <c r="P12"/>
  <c r="P32"/>
  <c r="P3"/>
  <c r="P22"/>
  <c r="P35"/>
  <c r="P15"/>
  <c r="P8"/>
  <c r="P13"/>
  <c r="P44"/>
  <c r="P48"/>
  <c r="P4"/>
  <c r="P45"/>
  <c r="P11"/>
  <c r="P26"/>
  <c r="P41"/>
  <c r="P21"/>
  <c r="P37"/>
  <c r="P14"/>
  <c r="P2"/>
  <c r="P27"/>
  <c r="P39"/>
  <c r="P49"/>
  <c r="P28"/>
  <c r="P42"/>
  <c r="P10"/>
  <c r="P16"/>
  <c r="P7"/>
  <c r="P31"/>
  <c r="P6"/>
  <c r="P25"/>
  <c r="P43"/>
  <c r="P9"/>
  <c r="P38"/>
</calcChain>
</file>

<file path=xl/comments1.xml><?xml version="1.0" encoding="utf-8"?>
<comments xmlns="http://schemas.openxmlformats.org/spreadsheetml/2006/main">
  <authors>
    <author>Andreas Warberg</author>
  </authors>
  <commentList>
    <comment ref="E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F1" authorId="0">
      <text>
        <r>
          <rPr>
            <b/>
            <sz val="8"/>
            <color indexed="81"/>
            <rFont val="Tahoma"/>
            <family val="2"/>
          </rPr>
          <t>Andreas Warberg:</t>
        </r>
        <r>
          <rPr>
            <sz val="8"/>
            <color indexed="81"/>
            <rFont val="Tahoma"/>
            <family val="2"/>
          </rPr>
          <t xml:space="preserve">
The size of the tested network in number of traffic lights (nodes).</t>
        </r>
      </text>
    </comment>
    <comment ref="H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I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<sst xmlns="http://schemas.openxmlformats.org/spreadsheetml/2006/main" count="468" uniqueCount="321">
  <si>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</si>
  <si>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</si>
  <si>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</si>
  <si>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</si>
  <si>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</si>
  <si>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</si>
  <si>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</si>
  <si>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</si>
  <si>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</si>
  <si>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</si>
  <si>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</si>
  <si>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</si>
  <si>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</si>
  <si>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</si>
  <si>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</si>
  <si>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</si>
  <si>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</si>
  <si>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</si>
  <si>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</si>
  <si>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</si>
  <si>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</si>
  <si>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</si>
  <si>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</si>
  <si>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</si>
  <si>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</si>
  <si>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</si>
  <si>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</si>
  <si>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</si>
  <si>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</si>
  <si>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</si>
  <si>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</si>
  <si>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</si>
  <si>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</si>
  <si>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</si>
  <si>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</si>
  <si>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</si>
  <si>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</si>
  <si>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</si>
  <si>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</si>
  <si>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</si>
  <si>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</si>
  <si>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</si>
  <si>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</si>
  <si>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</si>
  <si>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</si>
  <si>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</si>
  <si>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</si>
  <si>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</si>
  <si>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</si>
  <si>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</si>
  <si>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</si>
  <si>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</si>
  <si>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</si>
  <si>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</si>
  <si>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</si>
  <si>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</si>
  <si>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</si>
  <si>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</si>
  <si>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</si>
  <si>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</si>
  <si>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</si>
  <si>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</si>
  <si>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</si>
  <si>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</si>
  <si>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</si>
  <si>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</si>
  <si>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</si>
  <si>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</si>
  <si>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</si>
  <si>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</si>
  <si>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</si>
  <si>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</si>
  <si>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</si>
  <si>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</si>
  <si>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</si>
  <si>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</si>
  <si>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</si>
  <si>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</si>
  <si>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</si>
  <si>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</si>
  <si>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</si>
  <si>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</si>
  <si>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</si>
  <si>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</si>
  <si>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</si>
  <si>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</si>
  <si>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</si>
  <si>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</si>
  <si>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</si>
  <si>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</si>
  <si>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</si>
  <si>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</si>
  <si>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</si>
  <si>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</si>
  <si>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</si>
  <si>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</si>
  <si>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</si>
  <si>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</si>
  <si>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</si>
  <si>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</si>
  <si>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</si>
  <si>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</si>
  <si>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</si>
  <si>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</si>
  <si>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</si>
  <si>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</si>
  <si>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</si>
  <si>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</si>
  <si>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</si>
  <si>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</si>
  <si>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</si>
  <si>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</si>
  <si>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</si>
  <si>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</si>
  <si>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</si>
  <si>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</si>
  <si>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</si>
  <si>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</si>
  <si>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</si>
  <si>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</si>
  <si>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</si>
  <si>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</si>
  <si>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</si>
  <si>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</si>
  <si>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</si>
  <si>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</si>
  <si>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</si>
  <si>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</si>
  <si>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</si>
  <si>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</si>
  <si>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</si>
  <si>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</si>
  <si>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</si>
  <si>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</si>
  <si>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</si>
  <si>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</si>
  <si>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</si>
  <si>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</si>
  <si>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</si>
  <si>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</si>
  <si>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</si>
  <si>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</si>
  <si>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</si>
  <si>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</si>
  <si>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</si>
  <si>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</si>
  <si>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</si>
  <si>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</si>
  <si>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</si>
  <si>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</si>
  <si>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</si>
  <si>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</si>
  <si>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</si>
  <si>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</si>
  <si>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</si>
  <si>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</si>
  <si>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</si>
  <si>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</si>
  <si>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</si>
  <si>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</si>
  <si>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</si>
  <si>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</si>
  <si>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</si>
  <si>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</si>
  <si>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</si>
  <si>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</si>
  <si>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</si>
  <si>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</si>
  <si>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</si>
  <si>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</si>
  <si>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</si>
  <si>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</si>
  <si>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</si>
  <si>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</si>
  <si>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</si>
  <si>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</si>
  <si>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</si>
  <si>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</si>
  <si>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</si>
  <si>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</si>
  <si>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</si>
  <si>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</si>
  <si>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</si>
  <si>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</si>
  <si>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</si>
  <si>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</si>
  <si>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</si>
  <si>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</si>
  <si>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</si>
  <si>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</si>
  <si>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</si>
  <si>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</si>
  <si>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</si>
  <si>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</si>
  <si>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</si>
  <si>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</si>
  <si>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</si>
  <si>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</si>
  <si>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</si>
  <si>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</si>
  <si>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</si>
  <si>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</si>
  <si>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</si>
  <si>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</si>
  <si>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</si>
  <si>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</si>
  <si>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</si>
  <si>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</si>
  <si>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</si>
  <si>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</si>
  <si>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</si>
  <si>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</si>
  <si>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</si>
  <si>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</si>
  <si>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</si>
  <si>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</si>
  <si>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</si>
  <si>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</si>
  <si>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</si>
  <si>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</si>
  <si>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</si>
  <si>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</si>
  <si>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</si>
  <si>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</si>
  <si>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</si>
  <si>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</si>
  <si>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</si>
  <si>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</si>
  <si>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</si>
  <si>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</si>
  <si>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</si>
  <si>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</si>
  <si>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</si>
  <si>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</si>
  <si>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</si>
  <si>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</si>
  <si>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</si>
  <si>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</si>
  <si>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</si>
  <si>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</si>
  <si>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</si>
  <si>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</si>
  <si>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</si>
  <si>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</si>
  <si>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</si>
  <si>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</si>
  <si>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</si>
  <si>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</si>
  <si>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</si>
  <si>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</si>
  <si>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</si>
  <si>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</si>
  <si>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</si>
  <si>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</si>
  <si>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</si>
  <si>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</si>
  <si>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</si>
  <si>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</si>
  <si>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</si>
  <si>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</si>
  <si>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</si>
  <si>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</si>
  <si>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</si>
  <si>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</si>
  <si>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</si>
  <si>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</si>
  <si>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</si>
  <si>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</si>
  <si>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</si>
  <si>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</si>
  <si>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</si>
  <si>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</si>
  <si>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</si>
  <si>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</si>
  <si>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</si>
  <si>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</si>
  <si>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</si>
  <si>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</si>
  <si>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</si>
  <si>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</si>
  <si>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</si>
  <si>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</si>
  <si>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</si>
  <si>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</si>
  <si>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</si>
  <si>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</si>
  <si>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</si>
  <si>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</si>
  <si>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</si>
  <si>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</si>
  <si>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</si>
  <si>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</si>
  <si>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</si>
  <si>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</si>
  <si>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</si>
  <si>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</si>
  <si>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</si>
  <si>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</si>
  <si>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</si>
  <si>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</si>
  <si>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</si>
  <si>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</si>
  <si>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</si>
  <si>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</si>
  <si>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</si>
  <si>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</si>
  <si>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</si>
  <si>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</si>
  <si>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Macroscopic sim for objective function</t>
  </si>
  <si>
    <t>Anticipates changes to traffic flow on signal changes. Long running time, even with simple macro simulator and simple network.</t>
  </si>
  <si>
    <t>1) motorway and on-ramp 2) arterial with 2 intersections</t>
  </si>
  <si>
    <t>1 and 2</t>
  </si>
  <si>
    <t>Cycle based</t>
  </si>
  <si>
    <t>1; 10; 24; 28; 31; 38; 41; 43</t>
  </si>
  <si>
    <t>Macro sim is based on work of Akcelik (1991)</t>
  </si>
  <si>
    <t>Minimize number of vehicles in queues</t>
  </si>
  <si>
    <t>Extension of macroscopic model by Minciardi (2002) with offset estimations</t>
  </si>
  <si>
    <t>Bari, Italy. Only 2 intersections but complex geometry</t>
  </si>
  <si>
    <t>Red meeting probability seems like a good metric (minimize for lead vehicle of platoon and you are less likely to slow a platoon down).</t>
  </si>
  <si>
    <t>The traffic part of this model is very convincing. The system becomes "adaptive" when the optimization is re-run every K cycle. Basically this is just and offline optimizer. Optimization is done by "any commercial optimization package" - in the test it is quite fast on an elderly machine. No simulation performed but comparison to optimized, fixed timing plans.</t>
  </si>
  <si>
    <t>Referenced #</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</si>
</sst>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4">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xf numFmtId="0" fontId="0" fillId="0" borderId="0" xfId="0" applyFont="1" applyBorder="1"/>
  </cellXfs>
  <cellStyles count="1">
    <cellStyle name="Normal" xfId="0" builtinId="0"/>
  </cellStyles>
  <dxfs count="24">
    <dxf>
      <alignment horizontal="general" vertical="bottom" textRotation="0" wrapText="1" indent="0" relativeIndent="0" justifyLastLine="0" shrinkToFit="0" mergeCell="0" readingOrder="0"/>
    </dxf>
    <dxf>
      <numFmt numFmtId="0" formatCode="General"/>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64476288"/>
        <c:axId val="64477824"/>
      </c:barChart>
      <c:catAx>
        <c:axId val="64476288"/>
        <c:scaling>
          <c:orientation val="minMax"/>
        </c:scaling>
        <c:axPos val="b"/>
        <c:tickLblPos val="nextTo"/>
        <c:crossAx val="64477824"/>
        <c:crosses val="autoZero"/>
        <c:auto val="1"/>
        <c:lblAlgn val="ctr"/>
        <c:lblOffset val="100"/>
      </c:catAx>
      <c:valAx>
        <c:axId val="64477824"/>
        <c:scaling>
          <c:orientation val="minMax"/>
          <c:min val="0"/>
        </c:scaling>
        <c:axPos val="l"/>
        <c:majorGridlines/>
        <c:numFmt formatCode="General" sourceLinked="1"/>
        <c:tickLblPos val="nextTo"/>
        <c:crossAx val="64476288"/>
        <c:crosses val="autoZero"/>
        <c:crossBetween val="between"/>
        <c:majorUnit val="1"/>
      </c:valAx>
    </c:plotArea>
    <c:legend>
      <c:legendPos val="r"/>
    </c:legend>
    <c:plotVisOnly val="1"/>
  </c:chart>
  <c:printSettings>
    <c:headerFooter/>
    <c:pageMargins b="0.75000000000000522" l="0.70000000000000062" r="0.70000000000000062" t="0.75000000000000522"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Q50" totalsRowCount="1">
  <autoFilter ref="A1:Q49">
    <filterColumn colId="0"/>
    <filterColumn colId="1"/>
    <filterColumn colId="3"/>
    <filterColumn colId="4"/>
    <filterColumn colId="5"/>
    <filterColumn colId="6"/>
    <filterColumn colId="7"/>
    <filterColumn colId="8"/>
    <filterColumn colId="9"/>
    <filterColumn colId="11"/>
    <filterColumn colId="14"/>
    <filterColumn colId="15"/>
    <filterColumn colId="16"/>
  </autoFilter>
  <sortState ref="A2:Q49">
    <sortCondition ref="A1:A49"/>
  </sortState>
  <tableColumns count="17">
    <tableColumn id="5" name="Key" totalsRowLabel="Total"/>
    <tableColumn id="17" name="Referenced #"/>
    <tableColumn id="1" name="Optimization method" dataDxfId="23" totalsRowDxfId="22"/>
    <tableColumn id="13" name="Architecture" dataDxfId="21" totalsRowDxfId="20"/>
    <tableColumn id="10" name="Demand forecast base" dataDxfId="19" totalsRowDxfId="18"/>
    <tableColumn id="9" name="Network size" dataDxfId="17" totalsRowDxfId="16"/>
    <tableColumn id="14" name="Data set" dataDxfId="15" totalsRowDxfId="14"/>
    <tableColumn id="11" name="Synchronization type" dataDxfId="13" totalsRowDxfId="12"/>
    <tableColumn id="12" name="MOE" dataDxfId="11" totalsRowDxfId="10"/>
    <tableColumn id="15" name="Simulator" dataDxfId="9" totalsRowDxfId="8"/>
    <tableColumn id="2" name="Year"/>
    <tableColumn id="16" name="Journal" dataDxfId="7"/>
    <tableColumn id="3" name="Authors" dataDxfId="6" totalsRowDxfId="5"/>
    <tableColumn id="4" name="Title" totalsRowFunction="count" dataDxfId="4" totalsRowDxfId="3"/>
    <tableColumn id="6" name="Cited in" totalsRowDxfId="2"/>
    <tableColumn id="7" name="Importance" dataDxfId="1">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Q52"/>
  <sheetViews>
    <sheetView tabSelected="1" topLeftCell="A25" zoomScale="70" zoomScaleNormal="70" workbookViewId="0">
      <selection activeCell="N27" sqref="N27"/>
    </sheetView>
  </sheetViews>
  <sheetFormatPr defaultRowHeight="15"/>
  <cols>
    <col min="1" max="1" width="5.5703125" customWidth="1"/>
    <col min="2" max="2" width="19.85546875" customWidth="1"/>
    <col min="3" max="3" width="18.85546875" customWidth="1"/>
    <col min="4" max="4" width="12.5703125" customWidth="1"/>
    <col min="5" max="5" width="12.42578125" customWidth="1"/>
    <col min="6" max="6" width="7.5703125" customWidth="1"/>
    <col min="7" max="7" width="8.28515625" customWidth="1"/>
    <col min="8" max="8" width="12.85546875" customWidth="1"/>
    <col min="9" max="9" width="12.5703125" customWidth="1"/>
    <col min="10" max="10" width="9.5703125" customWidth="1"/>
    <col min="11" max="11" width="5.7109375" customWidth="1"/>
    <col min="12" max="13" width="24" customWidth="1"/>
    <col min="14" max="14" width="39.5703125" customWidth="1"/>
    <col min="15" max="15" width="8.7109375" customWidth="1"/>
    <col min="16" max="16" width="3.85546875" customWidth="1"/>
    <col min="17" max="17" width="61.42578125" bestFit="1" customWidth="1"/>
    <col min="18" max="22" width="5" customWidth="1"/>
    <col min="23" max="23" width="10.85546875" bestFit="1" customWidth="1"/>
  </cols>
  <sheetData>
    <row r="1" spans="1:17">
      <c r="A1" s="10" t="s">
        <v>145</v>
      </c>
      <c r="B1" t="s">
        <v>320</v>
      </c>
      <c r="C1" t="s">
        <v>97</v>
      </c>
      <c r="D1" t="s">
        <v>216</v>
      </c>
      <c r="E1" t="s">
        <v>105</v>
      </c>
      <c r="F1" t="s">
        <v>84</v>
      </c>
      <c r="G1" t="s">
        <v>90</v>
      </c>
      <c r="H1" t="s">
        <v>100</v>
      </c>
      <c r="I1" t="s">
        <v>87</v>
      </c>
      <c r="J1" t="s">
        <v>94</v>
      </c>
      <c r="K1" t="s">
        <v>0</v>
      </c>
      <c r="L1" t="s">
        <v>148</v>
      </c>
      <c r="M1" t="s">
        <v>2</v>
      </c>
      <c r="N1" t="s">
        <v>3</v>
      </c>
      <c r="O1" t="s">
        <v>65</v>
      </c>
      <c r="P1" t="s">
        <v>64</v>
      </c>
      <c r="Q1" t="s">
        <v>80</v>
      </c>
    </row>
    <row r="2" spans="1:17" ht="60">
      <c r="A2">
        <v>1</v>
      </c>
      <c r="B2" s="10">
        <v>6</v>
      </c>
      <c r="C2" s="4" t="s">
        <v>93</v>
      </c>
      <c r="D2" s="4"/>
      <c r="E2" s="4" t="s">
        <v>85</v>
      </c>
      <c r="F2" s="4"/>
      <c r="G2" s="4"/>
      <c r="H2" s="4" t="s">
        <v>98</v>
      </c>
      <c r="I2" s="4" t="s">
        <v>92</v>
      </c>
      <c r="J2" s="4" t="s">
        <v>96</v>
      </c>
      <c r="K2">
        <v>2006</v>
      </c>
      <c r="L2" s="4" t="s">
        <v>206</v>
      </c>
      <c r="M2" s="4" t="s">
        <v>6</v>
      </c>
      <c r="N2" s="1" t="s">
        <v>4</v>
      </c>
      <c r="P2" s="6" t="str">
        <f>COMMASEPCOUNT(Articles[[#This Row],[Cited in]])</f>
        <v/>
      </c>
      <c r="Q2" s="8" t="s">
        <v>214</v>
      </c>
    </row>
    <row r="3" spans="1:17" ht="45">
      <c r="A3">
        <v>2</v>
      </c>
      <c r="B3">
        <v>3</v>
      </c>
      <c r="C3" s="5" t="s">
        <v>5</v>
      </c>
      <c r="D3" s="5" t="s">
        <v>201</v>
      </c>
      <c r="E3" s="5" t="s">
        <v>85</v>
      </c>
      <c r="F3" s="5">
        <v>75</v>
      </c>
      <c r="G3" s="5" t="s">
        <v>202</v>
      </c>
      <c r="H3" s="5" t="s">
        <v>99</v>
      </c>
      <c r="I3" s="5" t="s">
        <v>204</v>
      </c>
      <c r="J3" s="5" t="s">
        <v>201</v>
      </c>
      <c r="K3" s="2">
        <v>2007</v>
      </c>
      <c r="L3" s="5" t="s">
        <v>205</v>
      </c>
      <c r="M3" s="5" t="s">
        <v>8</v>
      </c>
      <c r="N3" s="3" t="s">
        <v>7</v>
      </c>
      <c r="P3" s="6" t="str">
        <f>COMMASEPCOUNT(Articles[[#This Row],[Cited in]])</f>
        <v/>
      </c>
      <c r="Q3" s="8" t="s">
        <v>203</v>
      </c>
    </row>
    <row r="4" spans="1:17" ht="60">
      <c r="A4">
        <v>3</v>
      </c>
      <c r="C4" s="5" t="s">
        <v>9</v>
      </c>
      <c r="D4" s="5"/>
      <c r="E4" s="5"/>
      <c r="F4" s="5"/>
      <c r="G4" s="5"/>
      <c r="H4" s="5"/>
      <c r="I4" s="5"/>
      <c r="J4" s="5"/>
      <c r="K4" s="2">
        <v>2007</v>
      </c>
      <c r="L4" s="5"/>
      <c r="M4" s="5" t="s">
        <v>10</v>
      </c>
      <c r="N4" s="3" t="s">
        <v>82</v>
      </c>
      <c r="P4" s="6" t="str">
        <f>COMMASEPCOUNT(Articles[[#This Row],[Cited in]])</f>
        <v/>
      </c>
      <c r="Q4" s="8"/>
    </row>
    <row r="5" spans="1:17" ht="90">
      <c r="A5">
        <v>4</v>
      </c>
      <c r="B5">
        <v>2</v>
      </c>
      <c r="C5" s="5" t="s">
        <v>5</v>
      </c>
      <c r="D5" s="5" t="s">
        <v>96</v>
      </c>
      <c r="E5" s="5" t="s">
        <v>91</v>
      </c>
      <c r="F5" s="5">
        <v>9</v>
      </c>
      <c r="G5" s="5" t="s">
        <v>209</v>
      </c>
      <c r="H5" s="5" t="s">
        <v>99</v>
      </c>
      <c r="I5" s="5" t="s">
        <v>210</v>
      </c>
      <c r="J5" s="5" t="s">
        <v>96</v>
      </c>
      <c r="K5" s="2">
        <v>2000</v>
      </c>
      <c r="L5" s="5" t="s">
        <v>207</v>
      </c>
      <c r="M5" s="5" t="s">
        <v>12</v>
      </c>
      <c r="N5" s="3" t="s">
        <v>11</v>
      </c>
      <c r="P5" s="6" t="str">
        <f>COMMASEPCOUNT(Articles[[#This Row],[Cited in]])</f>
        <v/>
      </c>
      <c r="Q5" s="8" t="s">
        <v>208</v>
      </c>
    </row>
    <row r="6" spans="1:17" ht="90">
      <c r="A6" s="2">
        <v>5</v>
      </c>
      <c r="B6" s="2"/>
      <c r="C6" s="5" t="s">
        <v>15</v>
      </c>
      <c r="D6" s="5" t="s">
        <v>211</v>
      </c>
      <c r="E6" s="5" t="s">
        <v>91</v>
      </c>
      <c r="F6" s="5">
        <v>2</v>
      </c>
      <c r="G6" s="5" t="s">
        <v>140</v>
      </c>
      <c r="H6" s="5" t="s">
        <v>99</v>
      </c>
      <c r="I6" s="5" t="s">
        <v>213</v>
      </c>
      <c r="J6" s="5" t="s">
        <v>124</v>
      </c>
      <c r="K6" s="2">
        <v>2004</v>
      </c>
      <c r="L6" s="5" t="s">
        <v>224</v>
      </c>
      <c r="M6" s="5" t="s">
        <v>14</v>
      </c>
      <c r="N6" s="3" t="s">
        <v>13</v>
      </c>
      <c r="P6" s="6" t="str">
        <f>COMMASEPCOUNT(Articles[[#This Row],[Cited in]])</f>
        <v/>
      </c>
      <c r="Q6" s="8" t="s">
        <v>215</v>
      </c>
    </row>
    <row r="7" spans="1:17" ht="45">
      <c r="A7" s="2">
        <v>6</v>
      </c>
      <c r="B7" s="2"/>
      <c r="C7" s="5" t="s">
        <v>15</v>
      </c>
      <c r="D7" s="5"/>
      <c r="E7" s="5"/>
      <c r="F7" s="5"/>
      <c r="G7" s="5"/>
      <c r="H7" s="5"/>
      <c r="I7" s="5"/>
      <c r="J7" s="5"/>
      <c r="K7" s="2">
        <v>2004</v>
      </c>
      <c r="L7" s="5" t="s">
        <v>254</v>
      </c>
      <c r="M7" s="5" t="s">
        <v>25</v>
      </c>
      <c r="N7" s="3" t="s">
        <v>16</v>
      </c>
      <c r="P7" s="6" t="str">
        <f>COMMASEPCOUNT(Articles[[#This Row],[Cited in]])</f>
        <v/>
      </c>
      <c r="Q7" s="8" t="s">
        <v>225</v>
      </c>
    </row>
    <row r="8" spans="1:17" ht="60">
      <c r="A8" s="2">
        <v>7</v>
      </c>
      <c r="B8" s="2">
        <v>2</v>
      </c>
      <c r="C8" s="5" t="s">
        <v>5</v>
      </c>
      <c r="D8" s="5"/>
      <c r="E8" s="5"/>
      <c r="F8" s="5"/>
      <c r="G8" s="5"/>
      <c r="H8" s="5"/>
      <c r="I8" s="5"/>
      <c r="J8" s="5"/>
      <c r="K8" s="2">
        <v>2002</v>
      </c>
      <c r="L8" s="5" t="s">
        <v>255</v>
      </c>
      <c r="M8" s="5" t="s">
        <v>18</v>
      </c>
      <c r="N8" s="3" t="s">
        <v>17</v>
      </c>
      <c r="P8" s="6" t="str">
        <f>COMMASEPCOUNT(Articles[[#This Row],[Cited in]])</f>
        <v/>
      </c>
      <c r="Q8" s="8" t="s">
        <v>81</v>
      </c>
    </row>
    <row r="9" spans="1:17" ht="60">
      <c r="A9" s="2">
        <v>8</v>
      </c>
      <c r="B9" s="2"/>
      <c r="C9" s="5" t="s">
        <v>19</v>
      </c>
      <c r="D9" s="5" t="s">
        <v>171</v>
      </c>
      <c r="E9" s="5" t="s">
        <v>85</v>
      </c>
      <c r="F9" s="5"/>
      <c r="G9" s="5"/>
      <c r="H9" s="5"/>
      <c r="I9" s="5"/>
      <c r="J9" s="5"/>
      <c r="K9" s="2">
        <v>1996</v>
      </c>
      <c r="L9" s="5" t="s">
        <v>256</v>
      </c>
      <c r="M9" s="5" t="s">
        <v>21</v>
      </c>
      <c r="N9" s="3" t="s">
        <v>20</v>
      </c>
      <c r="P9" s="6" t="str">
        <f>COMMASEPCOUNT(Articles[[#This Row],[Cited in]])</f>
        <v/>
      </c>
      <c r="Q9" s="8" t="s">
        <v>83</v>
      </c>
    </row>
    <row r="10" spans="1:17" ht="124.5" customHeight="1">
      <c r="A10" s="2">
        <v>9</v>
      </c>
      <c r="B10" s="2">
        <v>2</v>
      </c>
      <c r="C10" s="5" t="s">
        <v>15</v>
      </c>
      <c r="D10" s="5" t="s">
        <v>88</v>
      </c>
      <c r="E10" s="5" t="s">
        <v>91</v>
      </c>
      <c r="F10" s="5">
        <v>9</v>
      </c>
      <c r="G10" s="5" t="s">
        <v>89</v>
      </c>
      <c r="H10" s="5" t="s">
        <v>99</v>
      </c>
      <c r="I10" s="5" t="s">
        <v>92</v>
      </c>
      <c r="J10" s="5" t="s">
        <v>95</v>
      </c>
      <c r="K10" s="2">
        <v>1991</v>
      </c>
      <c r="L10" s="5" t="s">
        <v>257</v>
      </c>
      <c r="M10" s="5" t="s">
        <v>23</v>
      </c>
      <c r="N10" s="3" t="s">
        <v>22</v>
      </c>
      <c r="O10" t="s">
        <v>282</v>
      </c>
      <c r="P10" s="6">
        <f>COMMASEPCOUNT(Articles[[#This Row],[Cited in]])</f>
        <v>2</v>
      </c>
      <c r="Q10" s="8" t="s">
        <v>86</v>
      </c>
    </row>
    <row r="11" spans="1:17" ht="90">
      <c r="A11" s="2">
        <v>10</v>
      </c>
      <c r="B11" s="2">
        <v>1</v>
      </c>
      <c r="C11" s="5" t="s">
        <v>104</v>
      </c>
      <c r="D11" s="5" t="s">
        <v>106</v>
      </c>
      <c r="E11" s="5" t="s">
        <v>91</v>
      </c>
      <c r="F11" s="5">
        <v>1</v>
      </c>
      <c r="G11" s="5" t="s">
        <v>109</v>
      </c>
      <c r="H11" s="5" t="s">
        <v>240</v>
      </c>
      <c r="I11" s="5" t="s">
        <v>92</v>
      </c>
      <c r="J11" s="5" t="s">
        <v>108</v>
      </c>
      <c r="K11" s="2">
        <v>1986</v>
      </c>
      <c r="L11" s="5" t="s">
        <v>258</v>
      </c>
      <c r="M11" s="5" t="s">
        <v>253</v>
      </c>
      <c r="N11" s="3" t="s">
        <v>24</v>
      </c>
      <c r="O11">
        <v>41</v>
      </c>
      <c r="P11" s="6">
        <f>COMMASEPCOUNT(Articles[[#This Row],[Cited in]])</f>
        <v>1</v>
      </c>
      <c r="Q11" s="8" t="s">
        <v>107</v>
      </c>
    </row>
    <row r="12" spans="1:17" ht="45">
      <c r="A12" s="2">
        <v>11</v>
      </c>
      <c r="B12" s="2"/>
      <c r="C12" s="5" t="s">
        <v>15</v>
      </c>
      <c r="D12" s="5" t="s">
        <v>103</v>
      </c>
      <c r="E12" s="5" t="s">
        <v>85</v>
      </c>
      <c r="F12" s="5">
        <v>16</v>
      </c>
      <c r="G12" s="5" t="s">
        <v>101</v>
      </c>
      <c r="H12" s="5"/>
      <c r="I12" s="5"/>
      <c r="J12" s="5" t="s">
        <v>102</v>
      </c>
      <c r="K12" s="2">
        <v>2006</v>
      </c>
      <c r="L12" s="5" t="s">
        <v>259</v>
      </c>
      <c r="M12" s="5" t="s">
        <v>27</v>
      </c>
      <c r="N12" s="3" t="s">
        <v>26</v>
      </c>
      <c r="P12" s="6" t="str">
        <f>COMMASEPCOUNT(Articles[[#This Row],[Cited in]])</f>
        <v/>
      </c>
      <c r="Q12" s="8"/>
    </row>
    <row r="13" spans="1:17" ht="105">
      <c r="A13" s="2">
        <v>12</v>
      </c>
      <c r="B13" s="2">
        <v>1</v>
      </c>
      <c r="C13" s="5" t="s">
        <v>19</v>
      </c>
      <c r="D13" s="5" t="s">
        <v>125</v>
      </c>
      <c r="E13" s="5" t="s">
        <v>85</v>
      </c>
      <c r="F13" s="5">
        <v>2</v>
      </c>
      <c r="G13" s="5" t="s">
        <v>126</v>
      </c>
      <c r="H13" s="5"/>
      <c r="I13" s="5" t="s">
        <v>128</v>
      </c>
      <c r="J13" s="5" t="s">
        <v>127</v>
      </c>
      <c r="K13" s="2">
        <v>2005</v>
      </c>
      <c r="L13" s="5" t="s">
        <v>224</v>
      </c>
      <c r="M13" s="5" t="s">
        <v>28</v>
      </c>
      <c r="N13" s="3" t="s">
        <v>29</v>
      </c>
      <c r="O13">
        <v>42</v>
      </c>
      <c r="P13" s="6">
        <f>COMMASEPCOUNT(Articles[[#This Row],[Cited in]])</f>
        <v>1</v>
      </c>
      <c r="Q13" s="8" t="s">
        <v>129</v>
      </c>
    </row>
    <row r="14" spans="1:17" ht="90">
      <c r="A14" s="2">
        <v>13</v>
      </c>
      <c r="B14" s="2">
        <v>2</v>
      </c>
      <c r="C14" s="5" t="s">
        <v>5</v>
      </c>
      <c r="D14" s="5"/>
      <c r="E14" s="5" t="s">
        <v>91</v>
      </c>
      <c r="F14" s="5">
        <v>16</v>
      </c>
      <c r="G14" s="5" t="s">
        <v>130</v>
      </c>
      <c r="H14" s="5"/>
      <c r="I14" s="5" t="s">
        <v>131</v>
      </c>
      <c r="J14" s="5" t="s">
        <v>102</v>
      </c>
      <c r="K14" s="2">
        <v>2004</v>
      </c>
      <c r="L14" s="5" t="s">
        <v>267</v>
      </c>
      <c r="M14" s="5" t="s">
        <v>31</v>
      </c>
      <c r="N14" s="3" t="s">
        <v>30</v>
      </c>
      <c r="P14" s="6" t="str">
        <f>COMMASEPCOUNT(Articles[[#This Row],[Cited in]])</f>
        <v/>
      </c>
      <c r="Q14" s="8" t="s">
        <v>135</v>
      </c>
    </row>
    <row r="15" spans="1:17" ht="165">
      <c r="A15" s="2">
        <v>14</v>
      </c>
      <c r="B15" s="2"/>
      <c r="C15" s="5" t="s">
        <v>34</v>
      </c>
      <c r="D15" s="5" t="s">
        <v>138</v>
      </c>
      <c r="E15" s="5" t="s">
        <v>137</v>
      </c>
      <c r="F15" s="5" t="s">
        <v>133</v>
      </c>
      <c r="G15" s="5" t="s">
        <v>134</v>
      </c>
      <c r="H15" s="5"/>
      <c r="I15" s="5" t="s">
        <v>92</v>
      </c>
      <c r="J15" s="5" t="s">
        <v>132</v>
      </c>
      <c r="K15" s="2">
        <v>2004</v>
      </c>
      <c r="L15" s="5" t="s">
        <v>260</v>
      </c>
      <c r="M15" s="5" t="s">
        <v>33</v>
      </c>
      <c r="N15" s="3" t="s">
        <v>32</v>
      </c>
      <c r="P15" s="6" t="str">
        <f>COMMASEPCOUNT(Articles[[#This Row],[Cited in]])</f>
        <v/>
      </c>
      <c r="Q15" s="8" t="s">
        <v>136</v>
      </c>
    </row>
    <row r="16" spans="1:17" ht="113.25" customHeight="1">
      <c r="A16" s="2">
        <v>15</v>
      </c>
      <c r="B16" s="2"/>
      <c r="C16" s="5" t="s">
        <v>37</v>
      </c>
      <c r="D16" s="5"/>
      <c r="E16" s="5" t="s">
        <v>85</v>
      </c>
      <c r="F16" s="5">
        <v>10</v>
      </c>
      <c r="G16" s="5" t="s">
        <v>140</v>
      </c>
      <c r="H16" s="5"/>
      <c r="I16" s="5" t="s">
        <v>92</v>
      </c>
      <c r="J16" s="5"/>
      <c r="K16" s="2">
        <v>2001</v>
      </c>
      <c r="L16" s="5" t="s">
        <v>261</v>
      </c>
      <c r="M16" s="5" t="s">
        <v>36</v>
      </c>
      <c r="N16" s="3" t="s">
        <v>35</v>
      </c>
      <c r="P16" s="6" t="str">
        <f>COMMASEPCOUNT(Articles[[#This Row],[Cited in]])</f>
        <v/>
      </c>
      <c r="Q16" s="8" t="s">
        <v>139</v>
      </c>
    </row>
    <row r="17" spans="1:17" ht="150">
      <c r="A17" s="2">
        <v>16</v>
      </c>
      <c r="B17" s="2">
        <v>1</v>
      </c>
      <c r="C17" s="5" t="s">
        <v>15</v>
      </c>
      <c r="D17" s="5" t="s">
        <v>316</v>
      </c>
      <c r="E17" s="5" t="s">
        <v>91</v>
      </c>
      <c r="F17" s="5">
        <v>2</v>
      </c>
      <c r="G17" s="5" t="s">
        <v>317</v>
      </c>
      <c r="H17" s="5" t="s">
        <v>99</v>
      </c>
      <c r="I17" s="5" t="s">
        <v>315</v>
      </c>
      <c r="J17" s="5" t="s">
        <v>124</v>
      </c>
      <c r="K17" s="2">
        <v>2006</v>
      </c>
      <c r="L17" s="5" t="s">
        <v>249</v>
      </c>
      <c r="M17" s="5" t="s">
        <v>248</v>
      </c>
      <c r="N17" s="3" t="s">
        <v>247</v>
      </c>
      <c r="P17" s="6" t="str">
        <f>COMMASEPCOUNT(Articles[[#This Row],[Cited in]])</f>
        <v/>
      </c>
      <c r="Q17" s="8" t="s">
        <v>319</v>
      </c>
    </row>
    <row r="18" spans="1:17" ht="45">
      <c r="A18" s="2">
        <v>17</v>
      </c>
      <c r="B18" s="2"/>
      <c r="C18" s="5" t="s">
        <v>9</v>
      </c>
      <c r="D18" s="5"/>
      <c r="E18" s="5"/>
      <c r="F18" s="5"/>
      <c r="G18" s="5"/>
      <c r="H18" s="5"/>
      <c r="I18" s="5"/>
      <c r="J18" s="5"/>
      <c r="K18" s="2">
        <v>2004</v>
      </c>
      <c r="L18" s="5" t="s">
        <v>262</v>
      </c>
      <c r="M18" s="5" t="s">
        <v>42</v>
      </c>
      <c r="N18" s="3" t="s">
        <v>41</v>
      </c>
      <c r="P18" s="6" t="str">
        <f>COMMASEPCOUNT(Articles[[#This Row],[Cited in]])</f>
        <v/>
      </c>
      <c r="Q18" s="8"/>
    </row>
    <row r="19" spans="1:17" ht="30">
      <c r="A19" s="2">
        <v>18</v>
      </c>
      <c r="B19" s="2"/>
      <c r="C19" s="5" t="s">
        <v>9</v>
      </c>
      <c r="D19" s="5"/>
      <c r="E19" s="5"/>
      <c r="F19" s="5"/>
      <c r="G19" s="5"/>
      <c r="H19" s="5"/>
      <c r="I19" s="5"/>
      <c r="J19" s="5"/>
      <c r="K19" s="2">
        <v>2001</v>
      </c>
      <c r="L19" s="5" t="s">
        <v>262</v>
      </c>
      <c r="M19" s="5" t="s">
        <v>44</v>
      </c>
      <c r="N19" s="3" t="s">
        <v>43</v>
      </c>
      <c r="P19" s="6" t="str">
        <f>COMMASEPCOUNT(Articles[[#This Row],[Cited in]])</f>
        <v/>
      </c>
      <c r="Q19" s="8"/>
    </row>
    <row r="20" spans="1:17" ht="30">
      <c r="A20" s="2">
        <v>19</v>
      </c>
      <c r="B20" s="2"/>
      <c r="C20" s="5" t="s">
        <v>9</v>
      </c>
      <c r="D20" s="5"/>
      <c r="E20" s="5"/>
      <c r="F20" s="5"/>
      <c r="G20" s="5"/>
      <c r="H20" s="5"/>
      <c r="I20" s="5"/>
      <c r="J20" s="5"/>
      <c r="K20" s="2">
        <v>2001</v>
      </c>
      <c r="L20" s="5" t="s">
        <v>262</v>
      </c>
      <c r="M20" s="5" t="s">
        <v>45</v>
      </c>
      <c r="N20" s="3" t="s">
        <v>46</v>
      </c>
      <c r="P20" s="6" t="str">
        <f>COMMASEPCOUNT(Articles[[#This Row],[Cited in]])</f>
        <v/>
      </c>
      <c r="Q20" s="8"/>
    </row>
    <row r="21" spans="1:17" ht="135">
      <c r="A21">
        <v>20</v>
      </c>
      <c r="B21">
        <v>1</v>
      </c>
      <c r="C21" s="4" t="s">
        <v>118</v>
      </c>
      <c r="D21" s="4"/>
      <c r="E21" s="4" t="s">
        <v>91</v>
      </c>
      <c r="F21" s="4">
        <v>2</v>
      </c>
      <c r="G21" s="4" t="s">
        <v>141</v>
      </c>
      <c r="H21" s="4" t="s">
        <v>142</v>
      </c>
      <c r="I21" s="4" t="s">
        <v>131</v>
      </c>
      <c r="J21" s="4" t="s">
        <v>124</v>
      </c>
      <c r="K21">
        <v>2007</v>
      </c>
      <c r="L21" s="4" t="s">
        <v>149</v>
      </c>
      <c r="M21" s="4" t="s">
        <v>48</v>
      </c>
      <c r="N21" s="1" t="s">
        <v>47</v>
      </c>
      <c r="P21" s="6" t="str">
        <f>COMMASEPCOUNT(Articles[[#This Row],[Cited in]])</f>
        <v/>
      </c>
      <c r="Q21" s="8" t="s">
        <v>143</v>
      </c>
    </row>
    <row r="22" spans="1:17" ht="180">
      <c r="A22">
        <v>21</v>
      </c>
      <c r="B22">
        <v>1</v>
      </c>
      <c r="C22" s="4" t="s">
        <v>118</v>
      </c>
      <c r="D22" s="4"/>
      <c r="E22" s="4" t="s">
        <v>91</v>
      </c>
      <c r="F22" s="4">
        <v>6</v>
      </c>
      <c r="G22" s="4" t="s">
        <v>155</v>
      </c>
      <c r="H22" s="4" t="s">
        <v>142</v>
      </c>
      <c r="I22" s="4" t="s">
        <v>153</v>
      </c>
      <c r="J22" s="4" t="s">
        <v>154</v>
      </c>
      <c r="K22">
        <v>2007</v>
      </c>
      <c r="L22" s="4" t="s">
        <v>150</v>
      </c>
      <c r="M22" s="4" t="s">
        <v>50</v>
      </c>
      <c r="N22" s="1" t="s">
        <v>49</v>
      </c>
      <c r="P22" s="6" t="str">
        <f>COMMASEPCOUNT(Articles[[#This Row],[Cited in]])</f>
        <v/>
      </c>
      <c r="Q22" s="8" t="s">
        <v>318</v>
      </c>
    </row>
    <row r="23" spans="1:17" ht="75">
      <c r="A23">
        <v>22</v>
      </c>
      <c r="B23" s="10"/>
      <c r="C23" s="4" t="s">
        <v>118</v>
      </c>
      <c r="D23" s="4" t="s">
        <v>157</v>
      </c>
      <c r="E23" s="4" t="s">
        <v>156</v>
      </c>
      <c r="F23" s="4">
        <v>24</v>
      </c>
      <c r="G23" s="4" t="s">
        <v>158</v>
      </c>
      <c r="H23" s="4" t="s">
        <v>99</v>
      </c>
      <c r="I23" s="4" t="s">
        <v>174</v>
      </c>
      <c r="J23" s="4" t="s">
        <v>124</v>
      </c>
      <c r="K23">
        <v>2007</v>
      </c>
      <c r="L23" s="4" t="s">
        <v>263</v>
      </c>
      <c r="M23" s="4" t="s">
        <v>52</v>
      </c>
      <c r="N23" s="1" t="s">
        <v>51</v>
      </c>
      <c r="P23" s="6" t="str">
        <f>COMMASEPCOUNT(Articles[[#This Row],[Cited in]])</f>
        <v/>
      </c>
      <c r="Q23" s="8" t="s">
        <v>159</v>
      </c>
    </row>
    <row r="24" spans="1:17" ht="180">
      <c r="A24">
        <v>23</v>
      </c>
      <c r="C24" s="4" t="s">
        <v>19</v>
      </c>
      <c r="D24" s="4"/>
      <c r="E24" s="4" t="s">
        <v>85</v>
      </c>
      <c r="F24" s="4">
        <v>1</v>
      </c>
      <c r="G24" s="4" t="s">
        <v>140</v>
      </c>
      <c r="H24" s="4" t="s">
        <v>98</v>
      </c>
      <c r="I24" s="4" t="s">
        <v>303</v>
      </c>
      <c r="J24" s="4" t="s">
        <v>127</v>
      </c>
      <c r="K24">
        <v>2007</v>
      </c>
      <c r="L24" s="4" t="s">
        <v>180</v>
      </c>
      <c r="M24" s="4" t="s">
        <v>179</v>
      </c>
      <c r="N24" s="1" t="s">
        <v>178</v>
      </c>
      <c r="P24" s="6" t="str">
        <f>COMMASEPCOUNT(Articles[[#This Row],[Cited in]])</f>
        <v/>
      </c>
      <c r="Q24" s="8" t="s">
        <v>302</v>
      </c>
    </row>
    <row r="25" spans="1:17" ht="90">
      <c r="A25">
        <v>24</v>
      </c>
      <c r="B25">
        <v>1</v>
      </c>
      <c r="C25" s="4"/>
      <c r="D25" s="4" t="s">
        <v>306</v>
      </c>
      <c r="E25" s="4" t="s">
        <v>91</v>
      </c>
      <c r="F25" s="4">
        <v>4</v>
      </c>
      <c r="G25" s="4" t="s">
        <v>305</v>
      </c>
      <c r="H25" s="4" t="s">
        <v>99</v>
      </c>
      <c r="I25" s="4" t="s">
        <v>307</v>
      </c>
      <c r="J25" s="4" t="s">
        <v>124</v>
      </c>
      <c r="K25">
        <v>1996</v>
      </c>
      <c r="L25" s="4" t="s">
        <v>186</v>
      </c>
      <c r="M25" s="4" t="s">
        <v>182</v>
      </c>
      <c r="N25" s="1" t="s">
        <v>181</v>
      </c>
      <c r="O25">
        <v>26</v>
      </c>
      <c r="P25" s="6">
        <f>COMMASEPCOUNT(Articles[[#This Row],[Cited in]])</f>
        <v>1</v>
      </c>
      <c r="Q25" s="8" t="s">
        <v>304</v>
      </c>
    </row>
    <row r="26" spans="1:17" ht="135">
      <c r="A26" s="2">
        <v>25</v>
      </c>
      <c r="B26" s="2">
        <v>1</v>
      </c>
      <c r="C26" s="5" t="s">
        <v>55</v>
      </c>
      <c r="D26" s="5" t="s">
        <v>172</v>
      </c>
      <c r="E26" s="5" t="s">
        <v>168</v>
      </c>
      <c r="F26" s="5">
        <v>1</v>
      </c>
      <c r="G26" s="5" t="s">
        <v>169</v>
      </c>
      <c r="H26" s="5" t="s">
        <v>170</v>
      </c>
      <c r="I26" s="5" t="s">
        <v>165</v>
      </c>
      <c r="J26" s="5" t="s">
        <v>164</v>
      </c>
      <c r="K26" s="2">
        <v>2006</v>
      </c>
      <c r="L26" s="3" t="s">
        <v>166</v>
      </c>
      <c r="M26" s="5" t="s">
        <v>54</v>
      </c>
      <c r="N26" s="3" t="s">
        <v>53</v>
      </c>
      <c r="P26" s="6" t="str">
        <f>COMMASEPCOUNT(Articles[[#This Row],[Cited in]])</f>
        <v/>
      </c>
      <c r="Q26" s="8" t="s">
        <v>167</v>
      </c>
    </row>
    <row r="27" spans="1:17" ht="120.75" customHeight="1">
      <c r="A27">
        <v>26</v>
      </c>
      <c r="B27">
        <v>4</v>
      </c>
      <c r="C27" s="4" t="s">
        <v>5</v>
      </c>
      <c r="D27" s="4" t="s">
        <v>173</v>
      </c>
      <c r="E27" s="4" t="s">
        <v>91</v>
      </c>
      <c r="F27" s="4">
        <v>6</v>
      </c>
      <c r="G27" s="4" t="s">
        <v>176</v>
      </c>
      <c r="H27" s="4" t="s">
        <v>99</v>
      </c>
      <c r="I27" s="4" t="s">
        <v>212</v>
      </c>
      <c r="J27" s="4" t="s">
        <v>173</v>
      </c>
      <c r="K27">
        <v>2006</v>
      </c>
      <c r="L27" s="3" t="s">
        <v>150</v>
      </c>
      <c r="M27" s="4" t="s">
        <v>57</v>
      </c>
      <c r="N27" s="1" t="s">
        <v>56</v>
      </c>
      <c r="P27" s="6" t="str">
        <f>COMMASEPCOUNT(Articles[[#This Row],[Cited in]])</f>
        <v/>
      </c>
      <c r="Q27" s="8" t="s">
        <v>175</v>
      </c>
    </row>
    <row r="28" spans="1:17" ht="45">
      <c r="A28">
        <v>27</v>
      </c>
      <c r="B28" s="10">
        <v>2</v>
      </c>
      <c r="C28" s="4" t="s">
        <v>5</v>
      </c>
      <c r="D28" s="4" t="s">
        <v>173</v>
      </c>
      <c r="E28" s="4" t="s">
        <v>91</v>
      </c>
      <c r="F28" s="4" t="s">
        <v>183</v>
      </c>
      <c r="G28" s="4" t="s">
        <v>184</v>
      </c>
      <c r="H28" s="4" t="s">
        <v>187</v>
      </c>
      <c r="I28" s="4" t="s">
        <v>185</v>
      </c>
      <c r="J28" s="4">
        <v>26</v>
      </c>
      <c r="K28">
        <v>2004</v>
      </c>
      <c r="L28" s="4" t="s">
        <v>186</v>
      </c>
      <c r="M28" s="4" t="s">
        <v>59</v>
      </c>
      <c r="N28" s="1" t="s">
        <v>58</v>
      </c>
      <c r="P28" s="6" t="str">
        <f>COMMASEPCOUNT(Articles[[#This Row],[Cited in]])</f>
        <v/>
      </c>
      <c r="Q28" s="8" t="s">
        <v>227</v>
      </c>
    </row>
    <row r="29" spans="1:17" ht="75">
      <c r="A29">
        <v>28</v>
      </c>
      <c r="C29" s="4" t="s">
        <v>15</v>
      </c>
      <c r="D29" s="4" t="s">
        <v>231</v>
      </c>
      <c r="E29" s="4" t="s">
        <v>91</v>
      </c>
      <c r="F29" s="4">
        <v>9</v>
      </c>
      <c r="G29" s="4" t="s">
        <v>101</v>
      </c>
      <c r="H29" s="4" t="s">
        <v>99</v>
      </c>
      <c r="I29" s="4" t="s">
        <v>230</v>
      </c>
      <c r="J29" s="4" t="s">
        <v>124</v>
      </c>
      <c r="K29">
        <v>1975</v>
      </c>
      <c r="L29" s="4" t="s">
        <v>232</v>
      </c>
      <c r="M29" s="4" t="s">
        <v>61</v>
      </c>
      <c r="N29" s="1" t="s">
        <v>60</v>
      </c>
      <c r="O29">
        <v>24</v>
      </c>
      <c r="P29" s="6">
        <f>COMMASEPCOUNT(Articles[[#This Row],[Cited in]])</f>
        <v>1</v>
      </c>
      <c r="Q29" s="8" t="s">
        <v>229</v>
      </c>
    </row>
    <row r="30" spans="1:17" ht="45">
      <c r="A30">
        <v>29</v>
      </c>
      <c r="B30" s="10"/>
      <c r="C30" s="4" t="s">
        <v>55</v>
      </c>
      <c r="D30" s="4"/>
      <c r="E30" s="4"/>
      <c r="F30" s="4"/>
      <c r="G30" s="4"/>
      <c r="H30" s="4"/>
      <c r="I30" s="4"/>
      <c r="J30" s="4"/>
      <c r="K30">
        <v>2000</v>
      </c>
      <c r="L30" s="4" t="s">
        <v>264</v>
      </c>
      <c r="M30" s="4" t="s">
        <v>63</v>
      </c>
      <c r="N30" s="1" t="s">
        <v>62</v>
      </c>
      <c r="O30">
        <v>2</v>
      </c>
      <c r="P30" s="6">
        <f>COMMASEPCOUNT(Articles[[#This Row],[Cited in]])</f>
        <v>1</v>
      </c>
      <c r="Q30" s="8"/>
    </row>
    <row r="31" spans="1:17" ht="195">
      <c r="A31">
        <v>30</v>
      </c>
      <c r="B31">
        <v>1</v>
      </c>
      <c r="C31" s="4" t="s">
        <v>15</v>
      </c>
      <c r="D31" s="4" t="s">
        <v>234</v>
      </c>
      <c r="E31" s="4" t="s">
        <v>91</v>
      </c>
      <c r="F31" s="4" t="s">
        <v>235</v>
      </c>
      <c r="G31" s="4" t="s">
        <v>236</v>
      </c>
      <c r="H31" s="4" t="s">
        <v>99</v>
      </c>
      <c r="I31" s="4" t="s">
        <v>238</v>
      </c>
      <c r="J31" s="4" t="s">
        <v>124</v>
      </c>
      <c r="K31">
        <v>1975</v>
      </c>
      <c r="L31" s="4" t="s">
        <v>232</v>
      </c>
      <c r="M31" s="4" t="s">
        <v>61</v>
      </c>
      <c r="N31" s="1" t="s">
        <v>228</v>
      </c>
      <c r="O31">
        <v>24</v>
      </c>
      <c r="P31" s="6">
        <f>COMMASEPCOUNT(Articles[[#This Row],[Cited in]])</f>
        <v>1</v>
      </c>
      <c r="Q31" s="8" t="s">
        <v>237</v>
      </c>
    </row>
    <row r="32" spans="1:17" ht="150">
      <c r="A32">
        <v>31</v>
      </c>
      <c r="B32">
        <v>3</v>
      </c>
      <c r="C32" s="4" t="s">
        <v>5</v>
      </c>
      <c r="D32" s="4" t="s">
        <v>314</v>
      </c>
      <c r="E32" s="4" t="s">
        <v>91</v>
      </c>
      <c r="F32" s="4" t="s">
        <v>310</v>
      </c>
      <c r="G32" s="4" t="s">
        <v>311</v>
      </c>
      <c r="H32" s="4" t="s">
        <v>312</v>
      </c>
      <c r="I32" s="4" t="s">
        <v>273</v>
      </c>
      <c r="J32" s="4" t="s">
        <v>308</v>
      </c>
      <c r="K32">
        <v>2004</v>
      </c>
      <c r="L32" s="4" t="s">
        <v>265</v>
      </c>
      <c r="M32" s="4" t="s">
        <v>67</v>
      </c>
      <c r="N32" s="1" t="s">
        <v>66</v>
      </c>
      <c r="O32">
        <v>2</v>
      </c>
      <c r="P32" s="6">
        <f>COMMASEPCOUNT(Articles[[#This Row],[Cited in]])</f>
        <v>1</v>
      </c>
      <c r="Q32" s="8" t="s">
        <v>309</v>
      </c>
    </row>
    <row r="33" spans="1:17" ht="30">
      <c r="A33" s="2">
        <v>32</v>
      </c>
      <c r="B33" s="2">
        <v>1</v>
      </c>
      <c r="C33" s="5" t="s">
        <v>68</v>
      </c>
      <c r="D33" s="4"/>
      <c r="E33" s="5"/>
      <c r="F33" s="5"/>
      <c r="G33" s="5"/>
      <c r="H33" s="5"/>
      <c r="I33" s="4"/>
      <c r="J33" s="5"/>
      <c r="K33" s="2">
        <v>1977</v>
      </c>
      <c r="L33" s="5"/>
      <c r="M33" s="5" t="s">
        <v>70</v>
      </c>
      <c r="N33" s="3" t="s">
        <v>69</v>
      </c>
      <c r="O33">
        <v>2</v>
      </c>
      <c r="P33" s="6">
        <f>COMMASEPCOUNT(Articles[[#This Row],[Cited in]])</f>
        <v>1</v>
      </c>
    </row>
    <row r="34" spans="1:17" ht="45">
      <c r="A34">
        <v>33</v>
      </c>
      <c r="B34">
        <v>2</v>
      </c>
      <c r="C34" s="4" t="s">
        <v>5</v>
      </c>
      <c r="D34" s="4" t="s">
        <v>173</v>
      </c>
      <c r="E34" s="4" t="s">
        <v>91</v>
      </c>
      <c r="F34" s="4" t="s">
        <v>183</v>
      </c>
      <c r="G34" s="4" t="s">
        <v>184</v>
      </c>
      <c r="H34" s="4" t="s">
        <v>187</v>
      </c>
      <c r="I34" s="4" t="s">
        <v>185</v>
      </c>
      <c r="J34" s="4">
        <v>26</v>
      </c>
      <c r="K34">
        <v>2004</v>
      </c>
      <c r="L34" s="4" t="s">
        <v>186</v>
      </c>
      <c r="M34" s="4" t="s">
        <v>71</v>
      </c>
      <c r="N34" s="1" t="s">
        <v>72</v>
      </c>
      <c r="O34" t="s">
        <v>177</v>
      </c>
      <c r="P34" s="6">
        <f>COMMASEPCOUNT(Articles[[#This Row],[Cited in]])</f>
        <v>4</v>
      </c>
      <c r="Q34" s="8" t="s">
        <v>193</v>
      </c>
    </row>
    <row r="35" spans="1:17" ht="30">
      <c r="A35" s="2">
        <v>34</v>
      </c>
      <c r="B35" s="2">
        <v>2</v>
      </c>
      <c r="C35" s="5" t="s">
        <v>118</v>
      </c>
      <c r="D35" s="5" t="s">
        <v>173</v>
      </c>
      <c r="E35" s="5" t="s">
        <v>91</v>
      </c>
      <c r="F35" s="4" t="s">
        <v>183</v>
      </c>
      <c r="G35" s="4" t="s">
        <v>184</v>
      </c>
      <c r="H35" s="4" t="s">
        <v>187</v>
      </c>
      <c r="I35" s="4" t="s">
        <v>185</v>
      </c>
      <c r="J35" s="4">
        <v>26</v>
      </c>
      <c r="K35" s="2">
        <v>1999</v>
      </c>
      <c r="L35" s="5" t="s">
        <v>189</v>
      </c>
      <c r="M35" s="5" t="s">
        <v>52</v>
      </c>
      <c r="N35" s="3" t="s">
        <v>73</v>
      </c>
      <c r="O35" s="2" t="s">
        <v>188</v>
      </c>
      <c r="P35" s="7">
        <f>COMMASEPCOUNT(Articles[[#This Row],[Cited in]])</f>
        <v>4</v>
      </c>
      <c r="Q35" s="8"/>
    </row>
    <row r="36" spans="1:17" ht="70.5" customHeight="1">
      <c r="A36">
        <v>35</v>
      </c>
      <c r="B36">
        <v>2</v>
      </c>
      <c r="C36" s="4" t="s">
        <v>5</v>
      </c>
      <c r="D36" s="4"/>
      <c r="E36" s="4"/>
      <c r="F36" s="4"/>
      <c r="G36" s="4"/>
      <c r="H36" s="4"/>
      <c r="I36" s="4"/>
      <c r="J36" s="4" t="s">
        <v>300</v>
      </c>
      <c r="K36">
        <v>2003</v>
      </c>
      <c r="L36" s="4" t="s">
        <v>266</v>
      </c>
      <c r="M36" s="4" t="s">
        <v>74</v>
      </c>
      <c r="N36" s="1" t="s">
        <v>75</v>
      </c>
      <c r="P36" s="6" t="str">
        <f>COMMASEPCOUNT(Articles[[#This Row],[Cited in]])</f>
        <v/>
      </c>
      <c r="Q36" s="8" t="s">
        <v>301</v>
      </c>
    </row>
    <row r="37" spans="1:17" ht="120">
      <c r="A37">
        <v>36</v>
      </c>
      <c r="B37">
        <v>2</v>
      </c>
      <c r="C37" s="4" t="s">
        <v>15</v>
      </c>
      <c r="D37" s="4"/>
      <c r="E37" s="4" t="s">
        <v>91</v>
      </c>
      <c r="F37" s="4" t="s">
        <v>124</v>
      </c>
      <c r="G37" s="4" t="s">
        <v>124</v>
      </c>
      <c r="H37" s="4" t="s">
        <v>270</v>
      </c>
      <c r="I37" s="4" t="s">
        <v>273</v>
      </c>
      <c r="J37" s="4" t="s">
        <v>124</v>
      </c>
      <c r="K37">
        <v>1995</v>
      </c>
      <c r="L37" s="4" t="s">
        <v>267</v>
      </c>
      <c r="M37" s="4" t="s">
        <v>76</v>
      </c>
      <c r="N37" s="1" t="s">
        <v>77</v>
      </c>
      <c r="O37">
        <v>5</v>
      </c>
      <c r="P37" s="6">
        <f>COMMASEPCOUNT(Articles[[#This Row],[Cited in]])</f>
        <v>1</v>
      </c>
      <c r="Q37" s="8" t="s">
        <v>269</v>
      </c>
    </row>
    <row r="38" spans="1:17" ht="120">
      <c r="A38" s="2">
        <v>37</v>
      </c>
      <c r="B38" s="13">
        <v>1</v>
      </c>
      <c r="C38" s="5" t="s">
        <v>15</v>
      </c>
      <c r="D38" s="5" t="s">
        <v>277</v>
      </c>
      <c r="E38" s="5" t="s">
        <v>91</v>
      </c>
      <c r="F38" s="5" t="s">
        <v>279</v>
      </c>
      <c r="G38" s="5" t="s">
        <v>280</v>
      </c>
      <c r="H38" s="5" t="s">
        <v>99</v>
      </c>
      <c r="I38" s="5" t="s">
        <v>281</v>
      </c>
      <c r="J38" s="5" t="s">
        <v>124</v>
      </c>
      <c r="K38" s="2">
        <v>2002</v>
      </c>
      <c r="L38" s="5" t="s">
        <v>268</v>
      </c>
      <c r="M38" s="5" t="s">
        <v>78</v>
      </c>
      <c r="N38" s="3" t="s">
        <v>79</v>
      </c>
      <c r="O38" s="2">
        <v>6</v>
      </c>
      <c r="P38" s="7">
        <f>COMMASEPCOUNT(Articles[[#This Row],[Cited in]])</f>
        <v>1</v>
      </c>
      <c r="Q38" s="8" t="s">
        <v>278</v>
      </c>
    </row>
    <row r="39" spans="1:17" ht="90">
      <c r="A39" s="2">
        <v>38</v>
      </c>
      <c r="B39" s="2">
        <v>2</v>
      </c>
      <c r="C39" s="5" t="s">
        <v>118</v>
      </c>
      <c r="D39" s="5" t="s">
        <v>116</v>
      </c>
      <c r="E39" s="5" t="s">
        <v>85</v>
      </c>
      <c r="F39" s="5">
        <v>1</v>
      </c>
      <c r="G39" s="5" t="s">
        <v>114</v>
      </c>
      <c r="H39" s="5" t="s">
        <v>98</v>
      </c>
      <c r="I39" s="5" t="s">
        <v>92</v>
      </c>
      <c r="J39" s="5" t="s">
        <v>115</v>
      </c>
      <c r="K39" s="2">
        <v>2007</v>
      </c>
      <c r="L39" s="5" t="s">
        <v>224</v>
      </c>
      <c r="M39" s="5" t="s">
        <v>113</v>
      </c>
      <c r="N39" s="3" t="s">
        <v>112</v>
      </c>
      <c r="O39" s="2"/>
      <c r="P39" s="7" t="str">
        <f>COMMASEPCOUNT(Articles[[#This Row],[Cited in]])</f>
        <v/>
      </c>
      <c r="Q39" s="8" t="s">
        <v>117</v>
      </c>
    </row>
    <row r="40" spans="1:17" ht="75">
      <c r="A40" s="2">
        <v>39</v>
      </c>
      <c r="B40" s="2"/>
      <c r="C40" s="5" t="s">
        <v>119</v>
      </c>
      <c r="D40" s="5" t="s">
        <v>122</v>
      </c>
      <c r="E40" s="5" t="s">
        <v>91</v>
      </c>
      <c r="F40" s="5">
        <v>1</v>
      </c>
      <c r="G40" s="5" t="s">
        <v>123</v>
      </c>
      <c r="H40" s="5" t="s">
        <v>99</v>
      </c>
      <c r="I40" s="5" t="s">
        <v>204</v>
      </c>
      <c r="J40" s="5" t="s">
        <v>124</v>
      </c>
      <c r="K40" s="2">
        <v>2006</v>
      </c>
      <c r="L40" s="5" t="s">
        <v>152</v>
      </c>
      <c r="M40" s="5" t="s">
        <v>120</v>
      </c>
      <c r="N40" s="3" t="s">
        <v>121</v>
      </c>
      <c r="O40" s="2"/>
      <c r="P40" s="7" t="str">
        <f>COMMASEPCOUNT(Articles[[#This Row],[Cited in]])</f>
        <v/>
      </c>
      <c r="Q40" s="8" t="s">
        <v>299</v>
      </c>
    </row>
    <row r="41" spans="1:17">
      <c r="A41" s="2">
        <v>40</v>
      </c>
      <c r="B41" s="2">
        <v>1</v>
      </c>
      <c r="C41" s="5" t="s">
        <v>118</v>
      </c>
      <c r="D41" s="5"/>
      <c r="E41" s="5" t="s">
        <v>91</v>
      </c>
      <c r="F41" s="5"/>
      <c r="G41" s="5"/>
      <c r="H41" s="5"/>
      <c r="I41" s="5"/>
      <c r="J41" s="5"/>
      <c r="K41" s="2">
        <v>2004</v>
      </c>
      <c r="L41" s="5" t="s">
        <v>161</v>
      </c>
      <c r="M41" s="5" t="s">
        <v>162</v>
      </c>
      <c r="N41" t="s">
        <v>163</v>
      </c>
      <c r="O41" s="2">
        <v>22</v>
      </c>
      <c r="P41" s="7">
        <f>COMMASEPCOUNT(Articles[[#This Row],[Cited in]])</f>
        <v>1</v>
      </c>
      <c r="Q41" s="8"/>
    </row>
    <row r="42" spans="1:17" ht="75">
      <c r="A42" s="2">
        <v>41</v>
      </c>
      <c r="B42" s="2">
        <v>2</v>
      </c>
      <c r="C42" s="5" t="s">
        <v>5</v>
      </c>
      <c r="D42" s="5" t="s">
        <v>252</v>
      </c>
      <c r="E42" s="5" t="s">
        <v>91</v>
      </c>
      <c r="F42" s="5">
        <v>1</v>
      </c>
      <c r="G42" s="5" t="s">
        <v>250</v>
      </c>
      <c r="H42" s="5" t="s">
        <v>99</v>
      </c>
      <c r="I42" s="5" t="s">
        <v>274</v>
      </c>
      <c r="J42" s="5" t="s">
        <v>124</v>
      </c>
      <c r="K42" s="2">
        <v>2003</v>
      </c>
      <c r="L42" s="5" t="s">
        <v>192</v>
      </c>
      <c r="M42" s="5" t="s">
        <v>191</v>
      </c>
      <c r="N42" s="1" t="s">
        <v>190</v>
      </c>
      <c r="O42" s="2"/>
      <c r="P42" s="7" t="str">
        <f>COMMASEPCOUNT(Articles[[#This Row],[Cited in]])</f>
        <v/>
      </c>
      <c r="Q42" s="8" t="s">
        <v>251</v>
      </c>
    </row>
    <row r="43" spans="1:17" ht="180">
      <c r="A43" s="2">
        <v>42</v>
      </c>
      <c r="B43" s="2">
        <v>2</v>
      </c>
      <c r="C43" s="5" t="s">
        <v>194</v>
      </c>
      <c r="D43" s="5" t="s">
        <v>271</v>
      </c>
      <c r="E43" s="5" t="s">
        <v>91</v>
      </c>
      <c r="F43" s="4">
        <v>2</v>
      </c>
      <c r="G43" s="4" t="s">
        <v>272</v>
      </c>
      <c r="H43" s="5" t="s">
        <v>99</v>
      </c>
      <c r="I43" s="5" t="s">
        <v>274</v>
      </c>
      <c r="J43" s="5" t="s">
        <v>275</v>
      </c>
      <c r="K43" s="2">
        <v>2006</v>
      </c>
      <c r="L43" s="5" t="s">
        <v>197</v>
      </c>
      <c r="M43" s="5" t="s">
        <v>196</v>
      </c>
      <c r="N43" s="1" t="s">
        <v>195</v>
      </c>
      <c r="O43" s="2"/>
      <c r="P43" s="7" t="str">
        <f>COMMASEPCOUNT(Articles[[#This Row],[Cited in]])</f>
        <v/>
      </c>
      <c r="Q43" s="8" t="s">
        <v>276</v>
      </c>
    </row>
    <row r="44" spans="1:17" ht="105">
      <c r="A44" s="2">
        <v>43</v>
      </c>
      <c r="B44" s="2">
        <v>2</v>
      </c>
      <c r="C44" s="5" t="s">
        <v>5</v>
      </c>
      <c r="D44" s="5" t="s">
        <v>239</v>
      </c>
      <c r="E44" s="5" t="s">
        <v>245</v>
      </c>
      <c r="F44" s="5" t="s">
        <v>284</v>
      </c>
      <c r="G44" s="5" t="s">
        <v>246</v>
      </c>
      <c r="H44" s="5" t="s">
        <v>242</v>
      </c>
      <c r="I44" s="5" t="s">
        <v>241</v>
      </c>
      <c r="J44" s="5" t="s">
        <v>243</v>
      </c>
      <c r="K44" s="2">
        <v>1992</v>
      </c>
      <c r="L44" s="5" t="s">
        <v>200</v>
      </c>
      <c r="M44" s="5" t="s">
        <v>199</v>
      </c>
      <c r="N44" s="1" t="s">
        <v>198</v>
      </c>
      <c r="O44" s="2"/>
      <c r="P44" s="7" t="str">
        <f>COMMASEPCOUNT(Articles[[#This Row],[Cited in]])</f>
        <v/>
      </c>
      <c r="Q44" s="8" t="s">
        <v>244</v>
      </c>
    </row>
    <row r="45" spans="1:17" ht="45">
      <c r="A45" s="2">
        <v>44</v>
      </c>
      <c r="B45" s="2">
        <v>2</v>
      </c>
      <c r="C45" s="5" t="s">
        <v>19</v>
      </c>
      <c r="D45" s="5" t="s">
        <v>220</v>
      </c>
      <c r="E45" s="5" t="s">
        <v>85</v>
      </c>
      <c r="F45" s="5">
        <v>9</v>
      </c>
      <c r="G45" s="5" t="s">
        <v>294</v>
      </c>
      <c r="H45" s="5" t="s">
        <v>98</v>
      </c>
      <c r="I45" s="5"/>
      <c r="J45" s="5"/>
      <c r="K45" s="2">
        <v>2001</v>
      </c>
      <c r="L45" s="5" t="s">
        <v>219</v>
      </c>
      <c r="M45" s="5" t="s">
        <v>218</v>
      </c>
      <c r="N45" s="1" t="s">
        <v>217</v>
      </c>
      <c r="O45" s="2">
        <v>1</v>
      </c>
      <c r="P45" s="7">
        <f>COMMASEPCOUNT(Articles[[#This Row],[Cited in]])</f>
        <v>1</v>
      </c>
      <c r="Q45" s="8" t="s">
        <v>293</v>
      </c>
    </row>
    <row r="46" spans="1:17" ht="30">
      <c r="A46" s="2">
        <v>45</v>
      </c>
      <c r="B46" s="2"/>
      <c r="C46" s="5"/>
      <c r="D46" s="5" t="s">
        <v>171</v>
      </c>
      <c r="E46" s="5" t="s">
        <v>85</v>
      </c>
      <c r="F46" s="5"/>
      <c r="G46" s="5"/>
      <c r="H46" s="5"/>
      <c r="I46" s="5"/>
      <c r="J46" s="5"/>
      <c r="K46" s="2">
        <v>1999</v>
      </c>
      <c r="L46" s="5" t="s">
        <v>223</v>
      </c>
      <c r="M46" s="5" t="s">
        <v>222</v>
      </c>
      <c r="N46" s="1" t="s">
        <v>221</v>
      </c>
      <c r="O46" s="2"/>
      <c r="P46" s="7" t="str">
        <f>COMMASEPCOUNT(Articles[[#This Row],[Cited in]])</f>
        <v/>
      </c>
      <c r="Q46" s="8"/>
    </row>
    <row r="47" spans="1:17" ht="75">
      <c r="A47" s="2">
        <v>46</v>
      </c>
      <c r="B47" s="2">
        <v>1</v>
      </c>
      <c r="C47" s="5" t="s">
        <v>19</v>
      </c>
      <c r="D47" s="5" t="s">
        <v>283</v>
      </c>
      <c r="E47" s="5" t="s">
        <v>85</v>
      </c>
      <c r="F47" s="5">
        <v>16</v>
      </c>
      <c r="G47" s="5" t="s">
        <v>285</v>
      </c>
      <c r="H47" s="5" t="s">
        <v>286</v>
      </c>
      <c r="I47" s="5" t="s">
        <v>287</v>
      </c>
      <c r="J47" s="5" t="s">
        <v>124</v>
      </c>
      <c r="K47" s="2">
        <v>1995</v>
      </c>
      <c r="L47" s="5" t="s">
        <v>289</v>
      </c>
      <c r="M47" s="5" t="s">
        <v>290</v>
      </c>
      <c r="N47" s="3" t="s">
        <v>291</v>
      </c>
      <c r="O47" s="2"/>
      <c r="P47" s="7" t="str">
        <f>COMMASEPCOUNT(Articles[[#This Row],[Cited in]])</f>
        <v/>
      </c>
      <c r="Q47" s="8" t="s">
        <v>292</v>
      </c>
    </row>
    <row r="48" spans="1:17" ht="45">
      <c r="A48" s="2" t="s">
        <v>146</v>
      </c>
      <c r="B48" s="2">
        <v>1</v>
      </c>
      <c r="C48" s="5"/>
      <c r="D48" s="5"/>
      <c r="E48" s="5"/>
      <c r="F48" s="5"/>
      <c r="G48" s="5"/>
      <c r="H48" s="5"/>
      <c r="I48" s="5"/>
      <c r="J48" s="5"/>
      <c r="K48" s="2">
        <v>1952</v>
      </c>
      <c r="L48" s="5" t="s">
        <v>151</v>
      </c>
      <c r="M48" s="5" t="s">
        <v>144</v>
      </c>
      <c r="N48" s="3" t="s">
        <v>226</v>
      </c>
      <c r="O48" s="2" t="s">
        <v>233</v>
      </c>
      <c r="P48" s="7">
        <f>COMMASEPCOUNT(Articles[[#This Row],[Cited in]])</f>
        <v>2</v>
      </c>
      <c r="Q48" s="8" t="s">
        <v>298</v>
      </c>
    </row>
    <row r="49" spans="1:17" ht="45">
      <c r="A49" s="2" t="s">
        <v>147</v>
      </c>
      <c r="B49" s="2">
        <v>1</v>
      </c>
      <c r="C49" s="5" t="s">
        <v>295</v>
      </c>
      <c r="D49" s="5" t="s">
        <v>296</v>
      </c>
      <c r="E49" s="5" t="s">
        <v>91</v>
      </c>
      <c r="F49" s="5"/>
      <c r="G49" s="5"/>
      <c r="H49" s="5"/>
      <c r="I49" s="5"/>
      <c r="J49" s="5"/>
      <c r="K49" s="2">
        <v>1958</v>
      </c>
      <c r="L49" s="5" t="s">
        <v>288</v>
      </c>
      <c r="M49" s="5" t="s">
        <v>110</v>
      </c>
      <c r="N49" s="3" t="s">
        <v>111</v>
      </c>
      <c r="O49" s="2" t="s">
        <v>313</v>
      </c>
      <c r="P49" s="7">
        <f>COMMASEPCOUNT(Articles[[#This Row],[Cited in]])</f>
        <v>8</v>
      </c>
      <c r="Q49" s="8" t="s">
        <v>297</v>
      </c>
    </row>
    <row r="50" spans="1:17">
      <c r="A50" t="s">
        <v>39</v>
      </c>
      <c r="C50" s="4"/>
      <c r="D50" s="4"/>
      <c r="E50" s="4"/>
      <c r="F50" s="4"/>
      <c r="G50" s="4"/>
      <c r="H50" s="4"/>
      <c r="I50" s="4"/>
      <c r="J50" s="4"/>
      <c r="M50" s="4"/>
      <c r="N50" s="4">
        <f>SUBTOTAL(103,[Title])</f>
        <v>48</v>
      </c>
      <c r="O50" s="4"/>
      <c r="Q50" s="4"/>
    </row>
    <row r="51" spans="1:17">
      <c r="C51" s="4"/>
      <c r="D51" s="4"/>
      <c r="E51" s="4"/>
      <c r="F51" s="4"/>
      <c r="G51" s="4"/>
      <c r="H51" s="4"/>
      <c r="I51" s="4"/>
      <c r="J51" s="4"/>
      <c r="M51" s="4"/>
      <c r="N51" s="1"/>
      <c r="P51" s="6"/>
      <c r="Q51" s="8"/>
    </row>
    <row r="52" spans="1:17">
      <c r="A52" s="2"/>
      <c r="B52" s="2"/>
      <c r="C52" s="5"/>
      <c r="D52" s="5"/>
      <c r="E52" s="5"/>
      <c r="F52" s="5"/>
      <c r="G52" s="5"/>
      <c r="H52" s="5"/>
      <c r="I52" s="5"/>
      <c r="J52" s="5"/>
      <c r="K52" s="2"/>
      <c r="L52" s="2"/>
      <c r="M52" s="5"/>
      <c r="N52" s="3"/>
      <c r="O52" s="2"/>
      <c r="P52" s="7"/>
      <c r="Q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194</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Stationary</cp:lastModifiedBy>
  <cp:lastPrinted>2007-10-23T06:59:42Z</cp:lastPrinted>
  <dcterms:created xsi:type="dcterms:W3CDTF">2006-09-25T13:34:53Z</dcterms:created>
  <dcterms:modified xsi:type="dcterms:W3CDTF">2007-12-11T15:06:20Z</dcterms:modified>
</cp:coreProperties>
</file>