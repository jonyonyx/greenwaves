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300" windowWidth="14895" windowHeight="7410"/>
  </bookViews>
  <sheets>
    <sheet name="Article Listing" sheetId="1" r:id="rId1"/>
    <sheet name="Overview" sheetId="2" r:id="rId2"/>
  </sheets>
  <functionGroups/>
  <definedNames>
    <definedName name="_xlnm.Print_Area" localSheetId="0">Articles[#All]</definedName>
    <definedName name="_xlnm.Print_Titles" localSheetId="0">'Article Listing'!$1:$1</definedName>
  </definedNames>
  <calcPr calcId="124519"/>
  <pivotCaches>
    <pivotCache cacheId="0" r:id="rId3"/>
  </pivotCaches>
</workbook>
</file>

<file path=xl/calcChain.xml><?xml version="1.0" encoding="utf-8"?>
<calcChain xmlns="http://schemas.openxmlformats.org/spreadsheetml/2006/main">
  <c r="N50" i="1"/>
  <c r="P22"/>
  <c r="P15"/>
  <c r="P39"/>
  <c r="P45"/>
  <c r="P46"/>
  <c r="P44"/>
  <c r="P16"/>
  <c r="P30"/>
  <c r="P7"/>
  <c r="P2"/>
  <c r="P47"/>
  <c r="P26"/>
  <c r="P43"/>
  <c r="P3"/>
  <c r="P17"/>
  <c r="P6"/>
  <c r="P32"/>
  <c r="P21"/>
  <c r="P35"/>
  <c r="P29"/>
  <c r="P37"/>
  <c r="P42"/>
  <c r="P33"/>
  <c r="P5"/>
  <c r="P18"/>
  <c r="P28"/>
  <c r="P9"/>
  <c r="P48"/>
  <c r="P40"/>
  <c r="P31"/>
  <c r="P10"/>
  <c r="P23"/>
  <c r="P20"/>
  <c r="P24"/>
  <c r="P41"/>
  <c r="P38"/>
  <c r="P49"/>
  <c r="P11"/>
  <c r="P13"/>
  <c r="P25"/>
  <c r="P12"/>
  <c r="P14"/>
  <c r="P4"/>
  <c r="P19"/>
  <c r="P8"/>
  <c r="P34"/>
  <c r="P36"/>
  <c r="P27"/>
</calcChain>
</file>

<file path=xl/comments1.xml><?xml version="1.0" encoding="utf-8"?>
<comments xmlns="http://schemas.openxmlformats.org/spreadsheetml/2006/main">
  <authors>
    <author>Andreas Warberg</author>
  </authors>
  <commentList>
    <comment ref="E1" authorId="0">
      <text>
        <r>
          <rPr>
            <b/>
            <sz val="8"/>
            <color indexed="81"/>
            <rFont val="Tahoma"/>
            <family val="2"/>
          </rPr>
          <t>Andreas Warberg:</t>
        </r>
        <r>
          <rPr>
            <sz val="8"/>
            <color indexed="81"/>
            <rFont val="Tahoma"/>
            <family val="2"/>
          </rPr>
          <t xml:space="preserve">
The type of optimization employed. Can be historically based, actuated or adaptive (sensors)</t>
        </r>
      </text>
    </comment>
    <comment ref="F1" authorId="0">
      <text>
        <r>
          <rPr>
            <b/>
            <sz val="8"/>
            <color indexed="81"/>
            <rFont val="Tahoma"/>
            <family val="2"/>
          </rPr>
          <t>Andreas Warberg:</t>
        </r>
        <r>
          <rPr>
            <sz val="8"/>
            <color indexed="81"/>
            <rFont val="Tahoma"/>
            <family val="2"/>
          </rPr>
          <t xml:space="preserve">
The size of the tested network in number of traffic lights (nodes).</t>
        </r>
      </text>
    </comment>
    <comment ref="H1" authorId="0">
      <text>
        <r>
          <rPr>
            <b/>
            <sz val="8"/>
            <color indexed="81"/>
            <rFont val="Tahoma"/>
            <family val="2"/>
          </rPr>
          <t>Andreas Warberg:</t>
        </r>
        <r>
          <rPr>
            <sz val="8"/>
            <color indexed="81"/>
            <rFont val="Tahoma"/>
            <family val="2"/>
          </rPr>
          <t xml:space="preserve">
Are the signals operating on a fixed (common) cycle time or can they be adjusted independently.</t>
        </r>
      </text>
    </comment>
    <comment ref="I1" authorId="0">
      <text>
        <r>
          <rPr>
            <b/>
            <sz val="8"/>
            <color indexed="81"/>
            <rFont val="Tahoma"/>
            <family val="2"/>
          </rPr>
          <t>Andreas Warberg:</t>
        </r>
        <r>
          <rPr>
            <sz val="8"/>
            <color indexed="81"/>
            <rFont val="Tahoma"/>
            <family val="2"/>
          </rPr>
          <t xml:space="preserve">
Optimization measure of effectiveness</t>
        </r>
      </text>
    </comment>
  </commentList>
</comments>
</file>

<file path=xl/sharedStrings.xml><?xml version="1.0" encoding="utf-8"?>
<sst xmlns="http://schemas.openxmlformats.org/spreadsheetml/2006/main" count="468" uniqueCount="321">
  <si>
    <t>Year</t>
  </si>
  <si>
    <t>Method</t>
  </si>
  <si>
    <t>Authors</t>
  </si>
  <si>
    <t>Title</t>
  </si>
  <si>
    <t>Development of a Phase-by-Phase, Arrival-Based, Delay-Optimized Adaptive Traffic Signal Control Methodology with Metaheuristic Search</t>
  </si>
  <si>
    <t>Genetic Algorithm</t>
  </si>
  <si>
    <t xml:space="preserve">Michael Shenoda, Randy Machemehl </t>
  </si>
  <si>
    <t>A Genetic Algorithm Approach for Optimizing Traffic Control Signals Considering Routing</t>
  </si>
  <si>
    <t>Fitsum Teklu, Agachai Sumalee, David Watling</t>
  </si>
  <si>
    <t>(Informational)</t>
  </si>
  <si>
    <t>US Dep. Of Transportation, Intelligent Transportation Systems</t>
  </si>
  <si>
    <t>Assessment of a Stochastic Signal Optimization Method Using Microsimulation</t>
  </si>
  <si>
    <t>Byungkyu “Brian” Park, Nagui M. Rouphail, Jerome Sacks</t>
  </si>
  <si>
    <t>An Enhanced 0–1 Mixed-Integer LP Formulation for Traffic Signal Control</t>
  </si>
  <si>
    <t>Wei-Hua Lin, Chenghong Wang</t>
  </si>
  <si>
    <t>Integer Programming</t>
  </si>
  <si>
    <t>Progression Optimization Featuring
Arterial- and Route-Based Priority
Signal Networks</t>
  </si>
  <si>
    <t>Genetic Algorithm Approach for Adaptive Offset Optimization for the Fluctuation of Traffic Flow</t>
  </si>
  <si>
    <t>Sei Takahashi, Hideo Nakamura, Hiroshi Kazama, Tomokazu Fujikura</t>
  </si>
  <si>
    <t>Dynamic Programming</t>
  </si>
  <si>
    <t>A Decentralized Scheme for Real-Time Optimization of Traffic Signals</t>
  </si>
  <si>
    <t xml:space="preserve">I. Porche, M. Sampath, R. Sengupta,  Y.-L. Chen,  S.  Lafortune </t>
  </si>
  <si>
    <t>A multi-band approach to arterial traffic signal optimization</t>
  </si>
  <si>
    <t>Gartner, N.H.;  Assmann, S.F.;  Lasaga, F.;  Hou, D.L.</t>
  </si>
  <si>
    <t>Traffic signal timing at isolated intersections using simulation optimization</t>
  </si>
  <si>
    <t>Nathan H. Gartner, Chronis Stamatiadis</t>
  </si>
  <si>
    <t>Large-Scale Traffic Network Control Based on Convex Programming Coupled with B&amp;B Strategy</t>
  </si>
  <si>
    <t>Tatsuya Kato, YoungWoo Kim, Shigeru Okuma and Tatsuo Narikiyo</t>
  </si>
  <si>
    <t>Tsin Hing Heung;  Tin Kin Ho;  Yu Fai Fung</t>
  </si>
  <si>
    <t>Coordinated road-junction traffic control by dynamic programming</t>
  </si>
  <si>
    <t>Genetic algorithms and cellular automata: a new architecture for traffic light cycles optimization</t>
  </si>
  <si>
    <t>Sanchez, J.J.;  Galan, M.;  Rubio, E.</t>
  </si>
  <si>
    <t>Simulation and optimization of traffic in a city</t>
  </si>
  <si>
    <t>Wiering, M.;  Vreeken, J.;  van Veenen, J.;  Koopman, A.</t>
  </si>
  <si>
    <t>Reinforcement learning</t>
  </si>
  <si>
    <t>The optimization of traffic signal light using artificial intelligence</t>
  </si>
  <si>
    <t>GiYoung Lim;  JeongJin Kang;  YouSik Hong</t>
  </si>
  <si>
    <t>Neural networks, fuzzy logic</t>
  </si>
  <si>
    <t>Publication year</t>
  </si>
  <si>
    <t>Total</t>
  </si>
  <si>
    <t>Total for method</t>
  </si>
  <si>
    <t>Signalregulering på Centrumforbindelsen med UTOPIA/SPOT</t>
  </si>
  <si>
    <t>Peter Bäcker Hansen, Lars Bo Frederiksen, Peter Christensen</t>
  </si>
  <si>
    <t>MOTION</t>
  </si>
  <si>
    <t>Nicoline Varberg, Dorrit Jakobsen</t>
  </si>
  <si>
    <t>Niels Chr. Johannesen</t>
  </si>
  <si>
    <t>Adaptive styresystemer sikrer optimalt investering</t>
  </si>
  <si>
    <t>An algorithm for local continuous optimization of traffic signals</t>
  </si>
  <si>
    <t>Ying, J.Q.;  Lu, H.;  Shi, J.</t>
  </si>
  <si>
    <t>Offline offset refiner for coordinated actuated signal control systems</t>
  </si>
  <si>
    <t>Yin, Yafeng;  Li, Meng;  Skabardonis, Alexander</t>
  </si>
  <si>
    <t>Comparative tests of solution methods for signal-controlled road networks</t>
  </si>
  <si>
    <t>Chiou, S.W.</t>
  </si>
  <si>
    <t>A platoon-based traffic signal timing algorithm for major-minor intersection types</t>
  </si>
  <si>
    <t>Jiang, Y.;  Li, S.;  Shamo, D.E.</t>
  </si>
  <si>
    <t>Simulation</t>
  </si>
  <si>
    <t>Developing combined genetic algorithm - Hill-climbing optimization method for area traffic control</t>
  </si>
  <si>
    <t>Ceylan, Halim</t>
  </si>
  <si>
    <t>Genetic algorithm solution for the stochastic equilibrium transportation networks under congestion</t>
  </si>
  <si>
    <t>Ceylan, Halim;  Bell, Michael G.H.</t>
  </si>
  <si>
    <t>Optimization of Traffic Signal Settings by Mixed-Integer Linear Programming Part I: The Network Coordination Problem.</t>
  </si>
  <si>
    <t>Gartner, Nathan H.; Little, John D. C.; Gabbay, Henry</t>
  </si>
  <si>
    <t>Probabilistic Approach to Implementing Traffic Signal Warrants</t>
  </si>
  <si>
    <t>Byungkyu "Brian" Park, Nagui M. Rouphail, and Joseph E. Hummer</t>
  </si>
  <si>
    <t>Importance</t>
  </si>
  <si>
    <t>Cited in</t>
  </si>
  <si>
    <t>Integrated anticipatory control</t>
  </si>
  <si>
    <t>Taale, H.;  van Zuylen, H.J.</t>
  </si>
  <si>
    <t>Modelling</t>
  </si>
  <si>
    <t>On Stochastic Models of Traffic Assignment</t>
  </si>
  <si>
    <t>Daganzo, Carlos F., Sheffi, Yosef</t>
  </si>
  <si>
    <t>Ceylan, H.;  Bell, M.G.H.</t>
  </si>
  <si>
    <t>Traffic signal timing optimisation based on genetic algorithm approach, including drivers' routing</t>
  </si>
  <si>
    <t xml:space="preserve">Optimization of Area Traffic Control for Equilibrium Network Flows. </t>
  </si>
  <si>
    <t xml:space="preserve">Anil Kamarajugadda, Dr. Byungkyu "Brian" Park </t>
  </si>
  <si>
    <t xml:space="preserve">Stochastic Traffic Signal Timing Optimization </t>
  </si>
  <si>
    <t>Ramanathan, B.;  McNally, M.G.;  Jayakrishnan, R.</t>
  </si>
  <si>
    <t>Formulation of modern signal control operations as a non-linear mixed integer program</t>
  </si>
  <si>
    <t>Gartner, N.H.;  Stamatiadis, C.</t>
  </si>
  <si>
    <t>Arterial-based control of traffic flow in urban grid networks</t>
  </si>
  <si>
    <t>Comments</t>
  </si>
  <si>
    <t>Simple, embedded, simulator. Vehicles follows a route from start to finish (no turning off).</t>
  </si>
  <si>
    <t>Traffic Signal Control - Deployment Benefits and lessons learned</t>
  </si>
  <si>
    <t>ALLONS-D, adaptive scheme, no fixed-cycle-length requirement. Each signal controller minimizes delay for approaches to intersection.</t>
  </si>
  <si>
    <t>Network size</t>
  </si>
  <si>
    <t>Adaptive</t>
  </si>
  <si>
    <t>Progression method (platooning). Model walkthrough (MAXBAND, PASSER II, TRANSYT)</t>
  </si>
  <si>
    <t>MOE</t>
  </si>
  <si>
    <t>MULTIBAND</t>
  </si>
  <si>
    <t>New Orleans</t>
  </si>
  <si>
    <t>Data set</t>
  </si>
  <si>
    <t>Historical</t>
  </si>
  <si>
    <t>Average delay</t>
  </si>
  <si>
    <t>Tabu Search</t>
  </si>
  <si>
    <t>Simulator</t>
  </si>
  <si>
    <t>NETSIM</t>
  </si>
  <si>
    <t>CORSIM</t>
  </si>
  <si>
    <t>Optimization method</t>
  </si>
  <si>
    <t>Phase based</t>
  </si>
  <si>
    <t>Common cycle</t>
  </si>
  <si>
    <t>Synchronization type</t>
  </si>
  <si>
    <t>Artificial grid</t>
  </si>
  <si>
    <t>Cellular Automaton</t>
  </si>
  <si>
    <t>HPN/MLDS</t>
  </si>
  <si>
    <t>Simulation, Dynamic Programming</t>
  </si>
  <si>
    <t>Demand forecast base</t>
  </si>
  <si>
    <t>Stochastic inventory model</t>
  </si>
  <si>
    <t>Problem cast into realm of queueing theory. Postulates that erlang distributed arrivals are the most realistic (platooning?).</t>
  </si>
  <si>
    <t>SIMAN</t>
  </si>
  <si>
    <t>Single signal with varying traffic volume</t>
  </si>
  <si>
    <t>Webster, F. V.</t>
  </si>
  <si>
    <t>Traffic Signal Setting</t>
  </si>
  <si>
    <t>Queuing Models for Analysis of Traffic Adaptive Signal Control</t>
  </si>
  <si>
    <t>Mirchandani, P. B.;  Zou, N.</t>
  </si>
  <si>
    <t>Single intersection with different flows</t>
  </si>
  <si>
    <t>MATLAB</t>
  </si>
  <si>
    <t>Treats intersection as a server in a queue system</t>
  </si>
  <si>
    <t>Only single intersection considered. Mentions performance problems. Shows that simulation is more realistic than analytical forecast.</t>
  </si>
  <si>
    <t>Numerical search</t>
  </si>
  <si>
    <t>Agent network</t>
  </si>
  <si>
    <t>Lee, Dong-liang;  Deng, Lawrence Y.</t>
  </si>
  <si>
    <t>Self Awareness and Adaptive Traffic Signal Control System for Smart World</t>
  </si>
  <si>
    <t>Webster, frequent updates</t>
  </si>
  <si>
    <t>MinQuan W. Rd. and ChenDer Rd.</t>
  </si>
  <si>
    <t>(none)</t>
  </si>
  <si>
    <t>Fuzzy logic controller with GA learning</t>
  </si>
  <si>
    <t>Simple two-junction network</t>
  </si>
  <si>
    <t>(A simulator is used but the name is not given)</t>
  </si>
  <si>
    <t>Average delay and number of stops</t>
  </si>
  <si>
    <t>Puts focus on decentralized control. Points out that adaptive control systems such as SCOOT has been shown to outperform static optimization eg. Webster but not in an overwhelmingly manner.</t>
  </si>
  <si>
    <t>Artifical, but complex, network</t>
  </si>
  <si>
    <t>Average time in network</t>
  </si>
  <si>
    <t>Green Ligth District</t>
  </si>
  <si>
    <t>15 (urban), 14 (surrounding highway)</t>
  </si>
  <si>
    <t>Urban street network and ordinary streets with highways around</t>
  </si>
  <si>
    <t>Deterministic simulator (consider fixed seed instead). Chromosone evaluation parrallelized.</t>
  </si>
  <si>
    <t>Actually learning by punishment. A penalty is given when vehicles wait. Tests a number of signal controller policies.</t>
  </si>
  <si>
    <t>Online</t>
  </si>
  <si>
    <t>Highly adaptive learning scheme</t>
  </si>
  <si>
    <t>Measures the physical length of queues rather than number of vehicles. Supervised learning. Kalman filter for demand prediction.</t>
  </si>
  <si>
    <t>Artificial</t>
  </si>
  <si>
    <t>Two-phase intersections (left and through and right)</t>
  </si>
  <si>
    <t>Fixed cycle time</t>
  </si>
  <si>
    <t>Good explanation of stochastic user equilibrium (SUE) ie. path choice and traffic assignment (Wardrop). Dynamic nature of demand seems neglected.</t>
  </si>
  <si>
    <t>Wardrop, J.G.</t>
  </si>
  <si>
    <t>Key</t>
  </si>
  <si>
    <t>Wardrop</t>
  </si>
  <si>
    <t>Webster</t>
  </si>
  <si>
    <t>Journal</t>
  </si>
  <si>
    <t>European Journal of Operational Research</t>
  </si>
  <si>
    <t>Journal of Transportation Engineering</t>
  </si>
  <si>
    <t>Proceedings Institute of Civil
Engineering</t>
  </si>
  <si>
    <t>Springer</t>
  </si>
  <si>
    <t>Bandwidth maximization and red meeting probability minimization</t>
  </si>
  <si>
    <t>Paramics 2003 by Quadstone</t>
  </si>
  <si>
    <t>Real data from El Camino Real, Palo Alto, Calif. Various traffic scenarios.</t>
  </si>
  <si>
    <t>(not mentioned)</t>
  </si>
  <si>
    <t>QNEW</t>
  </si>
  <si>
    <t>Real data from Sioux Falls</t>
  </si>
  <si>
    <t>Comparison with GA from article 2 and a sensitivity analysis approach (QNEW&gt;&gt;GA&gt;SAB). Large test network but demand prediction is not discussed. No simulation performed.</t>
  </si>
  <si>
    <t>Antal af Key</t>
  </si>
  <si>
    <t>Transportation Science</t>
  </si>
  <si>
    <t>Michael Patriksson</t>
  </si>
  <si>
    <t>Sensitivity analysis of traffic equilibria</t>
  </si>
  <si>
    <t>TraSim</t>
  </si>
  <si>
    <t>Total delay</t>
  </si>
  <si>
    <t>Transportation Research</t>
  </si>
  <si>
    <t>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t>
  </si>
  <si>
    <t>Actuated</t>
  </si>
  <si>
    <t>Historical data gathered from rural highways in Indiana</t>
  </si>
  <si>
    <t>(none, single intersection)</t>
  </si>
  <si>
    <t>ALLONS-D</t>
  </si>
  <si>
    <t>Preset timings based on historical data with actuated green time extensions for platoons.</t>
  </si>
  <si>
    <t>TRANSYT</t>
  </si>
  <si>
    <t>(not clear from text - veh h/h?!)</t>
  </si>
  <si>
    <t>Search space reduction technique "ADESS". Explains about the TRANSYT optimization package. Clear description of GA: "GA's perform a multi-directional search by maintaining a population of potential solutions and encourages information exchange between these directions".</t>
  </si>
  <si>
    <t>Test network by Allsop and Charlesworth (1977)</t>
  </si>
  <si>
    <t>2;22;25;26</t>
  </si>
  <si>
    <t>Adaptive Dynamic Control for Road Traffic Signals</t>
  </si>
  <si>
    <t>Heydecker, BG;  Cai, Chen;  Wong, CK</t>
  </si>
  <si>
    <t>Networking, Sensing and Control, 2007 IEEE International Conference</t>
  </si>
  <si>
    <t>A decomposition approach for signal optimisation in road networks</t>
  </si>
  <si>
    <t>Heydecker, B.G.</t>
  </si>
  <si>
    <t>Same</t>
  </si>
  <si>
    <t>as</t>
  </si>
  <si>
    <t>article</t>
  </si>
  <si>
    <t>Transportation Research Part B</t>
  </si>
  <si>
    <t>in</t>
  </si>
  <si>
    <t>2;20;22;33</t>
  </si>
  <si>
    <t>Ph.D Thesis at University College, London</t>
  </si>
  <si>
    <t>Multiobjective traffic signal timing optimization using non-dominated sorting genetic algorithm</t>
  </si>
  <si>
    <t>Sun, D.;  Benekohal, R.F.;  Waller, S.T.</t>
  </si>
  <si>
    <t>Intelligent Vehicles Symposium, 2003. Proceedings. IEEE</t>
  </si>
  <si>
    <t>Bilevel optimization (signal setting and traffic assignment).</t>
  </si>
  <si>
    <t>Particle Swarm Optimization</t>
  </si>
  <si>
    <t>Road-junction traffic signal timing optimization by an adaptive particle swarm algorithm</t>
  </si>
  <si>
    <t>Chen, Juan;  Xu, Lihong</t>
  </si>
  <si>
    <t>9th International Conference on Control, Automation, Robotics and Vision, 2006, ICARCV '06</t>
  </si>
  <si>
    <t>A real-time information processing algorithm for the evaluation and implementation of ATMS strategies</t>
  </si>
  <si>
    <t>Leonard, J.D., II;  Ramanathan, B.;  Recker, W.W.</t>
  </si>
  <si>
    <t>Intelligent Vehicles '92 Symposium., Proceedings of the</t>
  </si>
  <si>
    <t>SATURN</t>
  </si>
  <si>
    <t>Chester, UK</t>
  </si>
  <si>
    <t>Large network. Adaptive system (considers re-routing).</t>
  </si>
  <si>
    <t>Minimize travel time</t>
  </si>
  <si>
    <t>Computer-Aided Civil and Infrastructure Engineering</t>
  </si>
  <si>
    <t>Research Report SWUTC</t>
  </si>
  <si>
    <t>Technical Report Number 110 at National Institute of Statistical Sciences</t>
  </si>
  <si>
    <t>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t>
  </si>
  <si>
    <t>Chicago (semi-grid)</t>
  </si>
  <si>
    <t>Maximum queue length</t>
  </si>
  <si>
    <t>Cell-transmission</t>
  </si>
  <si>
    <t>"The sum for all traffic-controlled streams of a weighted linear combination of estimated delay and number of stops per unit time" (From TRANSYT)</t>
  </si>
  <si>
    <t>Combination of total delay and number of stops (same as TRANSYT)</t>
  </si>
  <si>
    <t>Elaborate in discussing alternatives etc. Some programming in Excel. Includes source code. Review of research in adaptive signal control. Probably the article, which takes the most realistic view on the problem.</t>
  </si>
  <si>
    <t>Some questionable assumptions eg. vehicles accelerate to full speed instantly when light switches from red to green. Considers emergency vehicles as an extension.</t>
  </si>
  <si>
    <t>Architecture</t>
  </si>
  <si>
    <t>A real-time traffic signal control system: architecture, algorithms, and analysis</t>
  </si>
  <si>
    <t>Mirchandani, P.;  Head, L.</t>
  </si>
  <si>
    <t>Transportation Research Part C: Emerging Technologies</t>
  </si>
  <si>
    <t>RHODES</t>
  </si>
  <si>
    <t>Adaptive Look-ahead Optimization of Traffic Signals</t>
  </si>
  <si>
    <t>Isaac Porche; Stéphane Lafortune</t>
  </si>
  <si>
    <t>Journal of Intelligent Transportation Systems</t>
  </si>
  <si>
    <t>IEEE TRANSACTIONS ON INTELLIGENT TRANSPORTATION SYSTEMS</t>
  </si>
  <si>
    <t>(There are many references to other articles by these authors, though not this one in particular). Heuristics for speeding up the solve process by putting focus on vehicle platoons.</t>
  </si>
  <si>
    <t>Some theoretical aspects of road traffic research</t>
  </si>
  <si>
    <t>Similar to other Ceylan papers (bi-level problem, GA provides input to TRANSYT etc.). Main difference is that high load is handled better. Stage ordering not optimized.</t>
  </si>
  <si>
    <t>Optimization of Traffic Signal Settings by Mixed-Integer Linear Programming Part II: The Network Synchronization Problem.</t>
  </si>
  <si>
    <t>Part I handles the signal coordination problem (offsets) and assumes cycle time and green splits are fixed. Emphasis on modeling platoon traffic (arrivals).</t>
  </si>
  <si>
    <t>Offset performance measured on delay per platoon.</t>
  </si>
  <si>
    <t>Arrival model based on demand from platoons</t>
  </si>
  <si>
    <t>Research Report under DOT AND ARO</t>
  </si>
  <si>
    <t>20;28</t>
  </si>
  <si>
    <t>Extension to article 28, queue overflow added</t>
  </si>
  <si>
    <t>Test network from article 28 and also for real-life networks of size 20 and 11 resp</t>
  </si>
  <si>
    <t>Washington DC and Waltham, Massachusetts</t>
  </si>
  <si>
    <t>The extension to the method of article 28 includes a stochastic element (queue overflow) and now optimizes the common cycle as well as the offsets and splits. Was applied to two real-life networks in the US.</t>
  </si>
  <si>
    <t>Minimize the delay at intersections and the queue lengths</t>
  </si>
  <si>
    <t>TRANSYT-7F (extended)</t>
  </si>
  <si>
    <t>(n/a)</t>
  </si>
  <si>
    <t>Various options</t>
  </si>
  <si>
    <t>Individual</t>
  </si>
  <si>
    <t>TRANSYT-7F</t>
  </si>
  <si>
    <t>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t>
  </si>
  <si>
    <t>No</t>
  </si>
  <si>
    <t>test</t>
  </si>
  <si>
    <t>A signal timing plan formulation for urban traffic control</t>
  </si>
  <si>
    <t>Dotoli, M.;  Fanti, M.P.;  Meloni, C.</t>
  </si>
  <si>
    <t>Control Engineering Practice</t>
  </si>
  <si>
    <t>Two-phase isolated intersection</t>
  </si>
  <si>
    <t>Multiple objectives eg. minimize delay, stops and fuel consumption and maximize throughput. "Minimizing delays lead to short cycle times while minimizing stops lead to long cycle times". Tests the NSGA II algorithm on three different scenarios. Uses Webster for min cycle length in two of the scenarios.</t>
  </si>
  <si>
    <t>NSGA II</t>
  </si>
  <si>
    <t>Saka, A.A.;  Anandalingam, G.;  Garber, N.J.</t>
  </si>
  <si>
    <t>Intelligent Transportation Systems</t>
  </si>
  <si>
    <t>The IEEE 5th International Conference of ITS</t>
  </si>
  <si>
    <t xml:space="preserve">Proceedings  of  the 1996  IEEE  International 
Conference on Control Applications </t>
  </si>
  <si>
    <t>Transportation Research part B</t>
  </si>
  <si>
    <t>Proceedings  of  the  1986  Winter  Simulation  Conjerence</t>
  </si>
  <si>
    <t>IEEJ Trans. EIS</t>
  </si>
  <si>
    <t xml:space="preserve">IEEE Intelligent Vehicles Symposium </t>
  </si>
  <si>
    <t>IEEE International Fuzzy Systems Conference</t>
  </si>
  <si>
    <t>Dansk Vejtidsskrift</t>
  </si>
  <si>
    <t xml:space="preserve">Information Sciences </t>
  </si>
  <si>
    <t xml:space="preserve">JOURNAL OF TRANSPORTATION ENGINEERING </t>
  </si>
  <si>
    <t>Delft University  of Technology and AVV Transport Research Centre</t>
  </si>
  <si>
    <t xml:space="preserve">A Research Project Report 
For the Center for ITS Implementation Research (ITS)  
A U.S. DOT University Transportation Center </t>
  </si>
  <si>
    <t>IEEE</t>
  </si>
  <si>
    <t>Mathematical  and  Computer  Modelling</t>
  </si>
  <si>
    <t>Wants to become a benchmark tool for other optimization techniques. Claims there are no complete pure mathematical models in the litterature to solve the problem at present due to the complexity of the problem. The model is given and complexity stated but a solution method is only proposed, not implemented =&gt; no testing performed. Only considers SINGLE intersection - stating inclusion of multiple intersections is simple without explanation (I suppose it is not!).</t>
  </si>
  <si>
    <t>(single intersection)</t>
  </si>
  <si>
    <t>Fuzzy local optimization and area wide adjustments</t>
  </si>
  <si>
    <t>2x 4-phase junctions</t>
  </si>
  <si>
    <t>Minimize delay</t>
  </si>
  <si>
    <t>Minimize delay and number of stops</t>
  </si>
  <si>
    <t>Custom sim for the two-junction setup. Used with constant arrivals and time-varying arrivals.</t>
  </si>
  <si>
    <t>Starts by showing the a standard PSO cannot compete with GA's. Then they add some functions to avoid getting the swarm caught in a local optimum (migration). They do not really explain why PSO should be better than eg. GA to optimize the problem. Adds delay and number of stops without weights.</t>
  </si>
  <si>
    <t>MAXBAND and MULTIBAND</t>
  </si>
  <si>
    <t>First presents the MAXBAND approach for single-artery optimization. The MULTIBAND optimization for multiple, intersection arterial flows is complex and heuristics are used to cut down on the search space.</t>
  </si>
  <si>
    <t>3x5 grid and 4x4 grid</t>
  </si>
  <si>
    <t>Ann Arbor, Michigan and Memphis Tennessee resp.</t>
  </si>
  <si>
    <t>Maximize arterial throughput</t>
  </si>
  <si>
    <t>6; 37</t>
  </si>
  <si>
    <t>OPAC</t>
  </si>
  <si>
    <t>empirical</t>
  </si>
  <si>
    <t>Reston Parkway, Virginian</t>
  </si>
  <si>
    <t>Common cycle for coordination</t>
  </si>
  <si>
    <t>Total delay and number of stops</t>
  </si>
  <si>
    <t>Great Britain Department of Scientific and Industrial Research</t>
  </si>
  <si>
    <t xml:space="preserve">IEEE  intelligent  Transportation Systems Conference Proceedings </t>
  </si>
  <si>
    <t xml:space="preserve">Nathan H. Gartner,  Farhad J. Pooran  and  Christina M. Andrews </t>
  </si>
  <si>
    <t xml:space="preserve">Implementation of the OPAC Adaptive Control 
Strategy  in a Traffic Signal Network </t>
  </si>
  <si>
    <t>Highly adaptive systems - they try to avoid even short term prediction. Promising implementation in RT-TRACS environment. No bus priority. Mentions how a pedestrian actuated crossing disrupts the traffic on sunny days.</t>
  </si>
  <si>
    <t>3-layered approach.</t>
  </si>
  <si>
    <t>Tara Blvd., Georgia</t>
  </si>
  <si>
    <t>Analytical</t>
  </si>
  <si>
    <t>Queuing theory</t>
  </si>
  <si>
    <t>Approximate delay estimation. Cycle length and green time calculation based on the expression.</t>
  </si>
  <si>
    <t>"Wardrop Equilibrium". Two principles: user equilibrium and system equilibrium + stochastic variants wrt perceived travel time.</t>
  </si>
  <si>
    <t xml:space="preserve">Vision based detection. </t>
  </si>
  <si>
    <t>SIMTRAFFIC and CORSIM</t>
  </si>
  <si>
    <t>Walkthrough of delay formulas (Webster, Akcelik, US Highway Capacity Manual).</t>
  </si>
  <si>
    <t>Approximate dynamic programming. Economic mode "calculation of future discounted cost" (determination of discount rate?). Optimizes stage sequence.</t>
  </si>
  <si>
    <t>Minimize the expected cost of implementing a specific timing plan and the associated total future discounted cost</t>
  </si>
  <si>
    <t>Tries to allow single-intersection optimization methods to work together. Admits that this approach will give suboptimal solutions. Iterations of individual optimization and common cycle time determination. Admits unlikely to get coordination among signals. They use TRANSYT in the testing phase to perform network optimization on basis of a isolated intersection optimization.</t>
  </si>
  <si>
    <t>From TRANSYT/8 user guide.</t>
  </si>
  <si>
    <t>TRANSYT/8</t>
  </si>
  <si>
    <t>Transyt MOE</t>
  </si>
  <si>
    <t>Macroscopic sim for objective function</t>
  </si>
  <si>
    <t>Anticipates changes to traffic flow on signal changes. Long running time, even with simple macro simulator and simple network.</t>
  </si>
  <si>
    <t>1) motorway and on-ramp 2) arterial with 2 intersections</t>
  </si>
  <si>
    <t>1 and 2</t>
  </si>
  <si>
    <t>Cycle based</t>
  </si>
  <si>
    <t>1; 10; 24; 28; 31; 38; 41; 43</t>
  </si>
  <si>
    <t>Macro sim is based on work of Akcelik (1991)</t>
  </si>
  <si>
    <t>Minimize number of vehicles in queues</t>
  </si>
  <si>
    <t>Extension of macroscopic model by Minciardi (2002) with offset estimations</t>
  </si>
  <si>
    <t>Bari, Italy. Only 2 intersections but complex geometry</t>
  </si>
  <si>
    <t>Red meeting probability seems like a good metric (minimize for lead vehicle of platoon and you are less likely to slow a platoon down).</t>
  </si>
  <si>
    <t>The traffic part of this model is very convincing. The system becomes "adaptive" when the optimization is re-run every K cycle. Basically this is just and offline optimizer. Optimization is done by "any commercial optimization package" - in the test it is quite fast on an elderly machine. No simulation performed but comparison to optimized, fixed timing plans.</t>
  </si>
  <si>
    <t>Referenced #</t>
  </si>
</sst>
</file>

<file path=xl/styles.xml><?xml version="1.0" encoding="utf-8"?>
<styleSheet xmlns="http://schemas.openxmlformats.org/spreadsheetml/2006/main">
  <fonts count="4">
    <font>
      <sz val="11"/>
      <color theme="1"/>
      <name val="Calibri"/>
      <family val="2"/>
      <scheme val="minor"/>
    </font>
    <font>
      <sz val="8"/>
      <color indexed="81"/>
      <name val="Tahoma"/>
      <family val="2"/>
    </font>
    <font>
      <b/>
      <sz val="8"/>
      <color indexed="81"/>
      <name val="Tahoma"/>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5">
    <xf numFmtId="0" fontId="0" fillId="0" borderId="0" xfId="0"/>
    <xf numFmtId="49" fontId="0" fillId="0" borderId="0" xfId="0" applyNumberFormat="1" applyAlignment="1">
      <alignment wrapText="1"/>
    </xf>
    <xf numFmtId="0" fontId="0" fillId="0" borderId="0" xfId="0" applyBorder="1"/>
    <xf numFmtId="49" fontId="0" fillId="0" borderId="0" xfId="0" applyNumberFormat="1" applyBorder="1" applyAlignment="1">
      <alignment wrapText="1"/>
    </xf>
    <xf numFmtId="0" fontId="0" fillId="0" borderId="0" xfId="0" applyAlignment="1">
      <alignment wrapText="1"/>
    </xf>
    <xf numFmtId="0" fontId="0" fillId="0" borderId="0" xfId="0" applyBorder="1" applyAlignment="1">
      <alignment wrapText="1"/>
    </xf>
    <xf numFmtId="0" fontId="0" fillId="0" borderId="0" xfId="0" applyNumberFormat="1"/>
    <xf numFmtId="0" fontId="0" fillId="0" borderId="0" xfId="0" applyNumberFormat="1" applyBorder="1"/>
    <xf numFmtId="0" fontId="0" fillId="0" borderId="0" xfId="0" applyNumberFormat="1" applyAlignment="1">
      <alignment wrapText="1"/>
    </xf>
    <xf numFmtId="0" fontId="0" fillId="0" borderId="0" xfId="0" applyNumberFormat="1" applyBorder="1" applyAlignment="1">
      <alignment wrapText="1"/>
    </xf>
    <xf numFmtId="0" fontId="0" fillId="0" borderId="0" xfId="0" applyFont="1"/>
    <xf numFmtId="0" fontId="0" fillId="0" borderId="0" xfId="0" pivotButton="1"/>
    <xf numFmtId="0" fontId="0" fillId="0" borderId="0" xfId="0" applyAlignment="1">
      <alignment horizontal="left"/>
    </xf>
    <xf numFmtId="0" fontId="3" fillId="0" borderId="0" xfId="0" applyFont="1"/>
    <xf numFmtId="0" fontId="0" fillId="0" borderId="0" xfId="0" applyFont="1" applyBorder="1"/>
  </cellXfs>
  <cellStyles count="1">
    <cellStyle name="Normal" xfId="0" builtinId="0"/>
  </cellStyles>
  <dxfs count="24">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numFmt numFmtId="0" formatCode="General"/>
    </dxf>
    <dxf>
      <numFmt numFmtId="30" formatCode="@"/>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da-DK"/>
  <c:style val="4"/>
  <c:pivotSource>
    <c:name>[Article_Listing.xlsm]Overview!Pivottabel1</c:name>
    <c:fmtId val="2"/>
  </c:pivotSource>
  <c:chart>
    <c:autoTitleDeleted val="1"/>
    <c:pivotFmts>
      <c:pivotFmt>
        <c:idx val="0"/>
      </c:pivotFmt>
      <c:pivotFmt>
        <c:idx val="1"/>
        <c:dLbl>
          <c:idx val="0"/>
          <c:delete val="1"/>
        </c:dLbl>
      </c:pivotFmt>
      <c:pivotFmt>
        <c:idx val="2"/>
        <c:dLbl>
          <c:idx val="0"/>
          <c:delete val="1"/>
        </c:dLbl>
      </c:pivotFmt>
      <c:pivotFmt>
        <c:idx val="3"/>
        <c:dLbl>
          <c:idx val="0"/>
          <c:delete val="1"/>
        </c:dLbl>
      </c:pivotFmt>
      <c:pivotFmt>
        <c:idx val="4"/>
        <c:dLbl>
          <c:idx val="0"/>
          <c:delete val="1"/>
        </c:dLbl>
      </c:pivotFmt>
      <c:pivotFmt>
        <c:idx val="5"/>
        <c:dLbl>
          <c:idx val="0"/>
          <c:delete val="1"/>
        </c:dLbl>
      </c:pivotFmt>
      <c:pivotFmt>
        <c:idx val="6"/>
        <c:dLbl>
          <c:idx val="0"/>
          <c:delete val="1"/>
        </c:dLbl>
      </c:pivotFmt>
      <c:pivotFmt>
        <c:idx val="7"/>
        <c:dLbl>
          <c:idx val="0"/>
          <c:delete val="1"/>
        </c:dLbl>
      </c:pivotFmt>
      <c:pivotFmt>
        <c:idx val="8"/>
        <c:dLbl>
          <c:idx val="0"/>
          <c:delete val="1"/>
        </c:dLbl>
      </c:pivotFmt>
      <c:pivotFmt>
        <c:idx val="9"/>
        <c:dLbl>
          <c:idx val="0"/>
          <c:delete val="1"/>
        </c:dLbl>
      </c:pivotFmt>
      <c:pivotFmt>
        <c:idx val="10"/>
        <c:dLbl>
          <c:idx val="0"/>
          <c:delete val="1"/>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marker>
          <c:symbol val="none"/>
        </c:marker>
        <c:dLbl>
          <c:idx val="0"/>
          <c:delete val="1"/>
        </c:dLbl>
      </c:pivotFmt>
      <c:pivotFmt>
        <c:idx val="26"/>
        <c:marker>
          <c:symbol val="none"/>
        </c:marker>
        <c:dLbl>
          <c:idx val="0"/>
          <c:delete val="1"/>
        </c:dLbl>
      </c:pivotFmt>
      <c:pivotFmt>
        <c:idx val="27"/>
        <c:marker>
          <c:symbol val="none"/>
        </c:marker>
        <c:dLbl>
          <c:idx val="0"/>
          <c:delete val="1"/>
        </c:dLbl>
      </c:pivotFmt>
      <c:pivotFmt>
        <c:idx val="28"/>
        <c:marker>
          <c:symbol val="none"/>
        </c:marker>
        <c:dLbl>
          <c:idx val="0"/>
          <c:delete val="1"/>
        </c:dLbl>
      </c:pivotFmt>
      <c:pivotFmt>
        <c:idx val="29"/>
        <c:marker>
          <c:symbol val="none"/>
        </c:marker>
        <c:dLbl>
          <c:idx val="0"/>
          <c:delete val="1"/>
        </c:dLbl>
      </c:pivotFmt>
      <c:pivotFmt>
        <c:idx val="30"/>
        <c:marker>
          <c:symbol val="none"/>
        </c:marker>
        <c:dLbl>
          <c:idx val="0"/>
          <c:delete val="1"/>
        </c:dLbl>
      </c:pivotFmt>
      <c:pivotFmt>
        <c:idx val="31"/>
        <c:marker>
          <c:symbol val="none"/>
        </c:marker>
        <c:dLbl>
          <c:idx val="0"/>
          <c:delete val="1"/>
        </c:dLbl>
      </c:pivotFmt>
      <c:pivotFmt>
        <c:idx val="32"/>
        <c:marker>
          <c:symbol val="none"/>
        </c:marker>
        <c:dLbl>
          <c:idx val="0"/>
          <c:delete val="1"/>
        </c:dLbl>
      </c:pivotFmt>
      <c:pivotFmt>
        <c:idx val="33"/>
        <c:marker>
          <c:symbol val="none"/>
        </c:marker>
        <c:dLbl>
          <c:idx val="0"/>
          <c:delete val="1"/>
        </c:dLbl>
      </c:pivotFmt>
      <c:pivotFmt>
        <c:idx val="34"/>
        <c:marker>
          <c:symbol val="none"/>
        </c:marker>
        <c:dLbl>
          <c:idx val="0"/>
          <c:delete val="1"/>
        </c:dLbl>
      </c:pivotFmt>
      <c:pivotFmt>
        <c:idx val="35"/>
        <c:marker>
          <c:symbol val="none"/>
        </c:marker>
        <c:dLbl>
          <c:idx val="0"/>
          <c:delete val="1"/>
        </c:dLbl>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s>
    <c:plotArea>
      <c:layout/>
      <c:barChart>
        <c:barDir val="col"/>
        <c:grouping val="stacked"/>
        <c:ser>
          <c:idx val="0"/>
          <c:order val="0"/>
          <c:tx>
            <c:strRef>
              <c:f>Overview!$B$3:$B$4</c:f>
              <c:strCache>
                <c:ptCount val="1"/>
                <c:pt idx="0">
                  <c:v>1975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Overview!$B$5:$B$17</c:f>
              <c:numCache>
                <c:formatCode>General</c:formatCode>
                <c:ptCount val="12"/>
                <c:pt idx="3">
                  <c:v>2</c:v>
                </c:pt>
              </c:numCache>
            </c:numRef>
          </c:val>
        </c:ser>
        <c:ser>
          <c:idx val="1"/>
          <c:order val="1"/>
          <c:tx>
            <c:strRef>
              <c:f>Overview!$C$3:$C$4</c:f>
              <c:strCache>
                <c:ptCount val="1"/>
                <c:pt idx="0">
                  <c:v>1977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Overview!$C$5:$C$17</c:f>
              <c:numCache>
                <c:formatCode>General</c:formatCode>
                <c:ptCount val="12"/>
                <c:pt idx="4">
                  <c:v>1</c:v>
                </c:pt>
              </c:numCache>
            </c:numRef>
          </c:val>
        </c:ser>
        <c:ser>
          <c:idx val="2"/>
          <c:order val="2"/>
          <c:tx>
            <c:strRef>
              <c:f>Overview!$D$3:$D$4</c:f>
              <c:strCache>
                <c:ptCount val="1"/>
                <c:pt idx="0">
                  <c:v>1986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Overview!$D$5:$D$17</c:f>
              <c:numCache>
                <c:formatCode>General</c:formatCode>
                <c:ptCount val="12"/>
                <c:pt idx="9">
                  <c:v>1</c:v>
                </c:pt>
              </c:numCache>
            </c:numRef>
          </c:val>
        </c:ser>
        <c:ser>
          <c:idx val="3"/>
          <c:order val="3"/>
          <c:tx>
            <c:strRef>
              <c:f>Overview!$E$3:$E$4</c:f>
              <c:strCache>
                <c:ptCount val="1"/>
                <c:pt idx="0">
                  <c:v>1991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Overview!$E$5:$E$17</c:f>
              <c:numCache>
                <c:formatCode>General</c:formatCode>
                <c:ptCount val="12"/>
                <c:pt idx="3">
                  <c:v>1</c:v>
                </c:pt>
              </c:numCache>
            </c:numRef>
          </c:val>
        </c:ser>
        <c:ser>
          <c:idx val="4"/>
          <c:order val="4"/>
          <c:tx>
            <c:strRef>
              <c:f>Overview!$F$3:$F$4</c:f>
              <c:strCache>
                <c:ptCount val="1"/>
                <c:pt idx="0">
                  <c:v>1992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Overview!$F$5:$F$17</c:f>
              <c:numCache>
                <c:formatCode>General</c:formatCode>
                <c:ptCount val="12"/>
                <c:pt idx="2">
                  <c:v>1</c:v>
                </c:pt>
              </c:numCache>
            </c:numRef>
          </c:val>
        </c:ser>
        <c:ser>
          <c:idx val="5"/>
          <c:order val="5"/>
          <c:tx>
            <c:strRef>
              <c:f>Overview!$G$3:$G$4</c:f>
              <c:strCache>
                <c:ptCount val="1"/>
                <c:pt idx="0">
                  <c:v>1995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Overview!$G$5:$G$17</c:f>
              <c:numCache>
                <c:formatCode>General</c:formatCode>
                <c:ptCount val="12"/>
                <c:pt idx="3">
                  <c:v>1</c:v>
                </c:pt>
              </c:numCache>
            </c:numRef>
          </c:val>
        </c:ser>
        <c:ser>
          <c:idx val="6"/>
          <c:order val="6"/>
          <c:tx>
            <c:strRef>
              <c:f>Overview!$H$3:$H$4</c:f>
              <c:strCache>
                <c:ptCount val="1"/>
                <c:pt idx="0">
                  <c:v>1996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Overview!$H$5:$H$17</c:f>
              <c:numCache>
                <c:formatCode>General</c:formatCode>
                <c:ptCount val="12"/>
                <c:pt idx="1">
                  <c:v>1</c:v>
                </c:pt>
              </c:numCache>
            </c:numRef>
          </c:val>
        </c:ser>
        <c:ser>
          <c:idx val="7"/>
          <c:order val="7"/>
          <c:tx>
            <c:strRef>
              <c:f>Overview!$I$3:$I$4</c:f>
              <c:strCache>
                <c:ptCount val="1"/>
                <c:pt idx="0">
                  <c:v>1999</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Overview!$I$5:$I$17</c:f>
              <c:numCache>
                <c:formatCode>General</c:formatCode>
                <c:ptCount val="12"/>
                <c:pt idx="6">
                  <c:v>1</c:v>
                </c:pt>
              </c:numCache>
            </c:numRef>
          </c:val>
        </c:ser>
        <c:ser>
          <c:idx val="8"/>
          <c:order val="8"/>
          <c:tx>
            <c:strRef>
              <c:f>Overview!$J$3:$J$4</c:f>
              <c:strCache>
                <c:ptCount val="1"/>
                <c:pt idx="0">
                  <c:v>2000</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Overview!$J$5:$J$17</c:f>
              <c:numCache>
                <c:formatCode>General</c:formatCode>
                <c:ptCount val="12"/>
                <c:pt idx="2">
                  <c:v>1</c:v>
                </c:pt>
                <c:pt idx="8">
                  <c:v>1</c:v>
                </c:pt>
              </c:numCache>
            </c:numRef>
          </c:val>
        </c:ser>
        <c:ser>
          <c:idx val="9"/>
          <c:order val="9"/>
          <c:tx>
            <c:strRef>
              <c:f>Overview!$K$3:$K$4</c:f>
              <c:strCache>
                <c:ptCount val="1"/>
                <c:pt idx="0">
                  <c:v>2001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Overview!$K$5:$K$17</c:f>
              <c:numCache>
                <c:formatCode>General</c:formatCode>
                <c:ptCount val="12"/>
                <c:pt idx="5">
                  <c:v>1</c:v>
                </c:pt>
              </c:numCache>
            </c:numRef>
          </c:val>
        </c:ser>
        <c:ser>
          <c:idx val="10"/>
          <c:order val="10"/>
          <c:tx>
            <c:strRef>
              <c:f>Overview!$L$3:$L$4</c:f>
              <c:strCache>
                <c:ptCount val="1"/>
                <c:pt idx="0">
                  <c:v>2002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Overview!$L$5:$L$17</c:f>
              <c:numCache>
                <c:formatCode>General</c:formatCode>
                <c:ptCount val="12"/>
                <c:pt idx="2">
                  <c:v>1</c:v>
                </c:pt>
                <c:pt idx="3">
                  <c:v>1</c:v>
                </c:pt>
              </c:numCache>
            </c:numRef>
          </c:val>
        </c:ser>
        <c:ser>
          <c:idx val="11"/>
          <c:order val="11"/>
          <c:tx>
            <c:strRef>
              <c:f>Overview!$M$3:$M$4</c:f>
              <c:strCache>
                <c:ptCount val="1"/>
                <c:pt idx="0">
                  <c:v>2003</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Overview!$M$5:$M$17</c:f>
              <c:numCache>
                <c:formatCode>General</c:formatCode>
                <c:ptCount val="12"/>
                <c:pt idx="2">
                  <c:v>2</c:v>
                </c:pt>
              </c:numCache>
            </c:numRef>
          </c:val>
        </c:ser>
        <c:ser>
          <c:idx val="12"/>
          <c:order val="12"/>
          <c:tx>
            <c:strRef>
              <c:f>Overview!$N$3:$N$4</c:f>
              <c:strCache>
                <c:ptCount val="1"/>
                <c:pt idx="0">
                  <c:v>2004</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Overview!$N$5:$N$17</c:f>
              <c:numCache>
                <c:formatCode>General</c:formatCode>
                <c:ptCount val="12"/>
                <c:pt idx="2">
                  <c:v>4</c:v>
                </c:pt>
                <c:pt idx="3">
                  <c:v>2</c:v>
                </c:pt>
                <c:pt idx="6">
                  <c:v>1</c:v>
                </c:pt>
                <c:pt idx="7">
                  <c:v>1</c:v>
                </c:pt>
              </c:numCache>
            </c:numRef>
          </c:val>
        </c:ser>
        <c:ser>
          <c:idx val="13"/>
          <c:order val="13"/>
          <c:tx>
            <c:strRef>
              <c:f>Overview!$O$3:$O$4</c:f>
              <c:strCache>
                <c:ptCount val="1"/>
                <c:pt idx="0">
                  <c:v>2005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Overview!$O$5:$O$17</c:f>
              <c:numCache>
                <c:formatCode>General</c:formatCode>
                <c:ptCount val="12"/>
                <c:pt idx="1">
                  <c:v>1</c:v>
                </c:pt>
              </c:numCache>
            </c:numRef>
          </c:val>
        </c:ser>
        <c:ser>
          <c:idx val="14"/>
          <c:order val="14"/>
          <c:tx>
            <c:strRef>
              <c:f>Overview!$P$3:$P$4</c:f>
              <c:strCache>
                <c:ptCount val="1"/>
                <c:pt idx="0">
                  <c:v>2006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Overview!$P$5:$P$17</c:f>
              <c:numCache>
                <c:formatCode>General</c:formatCode>
                <c:ptCount val="12"/>
                <c:pt idx="0">
                  <c:v>1</c:v>
                </c:pt>
                <c:pt idx="2">
                  <c:v>1</c:v>
                </c:pt>
                <c:pt idx="3">
                  <c:v>1</c:v>
                </c:pt>
                <c:pt idx="8">
                  <c:v>1</c:v>
                </c:pt>
                <c:pt idx="10">
                  <c:v>1</c:v>
                </c:pt>
                <c:pt idx="11">
                  <c:v>1</c:v>
                </c:pt>
              </c:numCache>
            </c:numRef>
          </c:val>
        </c:ser>
        <c:ser>
          <c:idx val="15"/>
          <c:order val="15"/>
          <c:tx>
            <c:strRef>
              <c:f>Overview!$Q$3:$Q$4</c:f>
              <c:strCache>
                <c:ptCount val="1"/>
                <c:pt idx="0">
                  <c:v>2007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Overview!$Q$5:$Q$17</c:f>
              <c:numCache>
                <c:formatCode>General</c:formatCode>
                <c:ptCount val="12"/>
                <c:pt idx="2">
                  <c:v>1</c:v>
                </c:pt>
                <c:pt idx="6">
                  <c:v>4</c:v>
                </c:pt>
              </c:numCache>
            </c:numRef>
          </c:val>
        </c:ser>
        <c:overlap val="100"/>
        <c:axId val="56517760"/>
        <c:axId val="56519296"/>
      </c:barChart>
      <c:catAx>
        <c:axId val="56517760"/>
        <c:scaling>
          <c:orientation val="minMax"/>
        </c:scaling>
        <c:axPos val="b"/>
        <c:tickLblPos val="nextTo"/>
        <c:crossAx val="56519296"/>
        <c:crosses val="autoZero"/>
        <c:auto val="1"/>
        <c:lblAlgn val="ctr"/>
        <c:lblOffset val="100"/>
      </c:catAx>
      <c:valAx>
        <c:axId val="56519296"/>
        <c:scaling>
          <c:orientation val="minMax"/>
          <c:min val="0"/>
        </c:scaling>
        <c:axPos val="l"/>
        <c:majorGridlines/>
        <c:numFmt formatCode="General" sourceLinked="1"/>
        <c:tickLblPos val="nextTo"/>
        <c:crossAx val="56517760"/>
        <c:crosses val="autoZero"/>
        <c:crossBetween val="between"/>
        <c:majorUnit val="1"/>
      </c:valAx>
    </c:plotArea>
    <c:legend>
      <c:legendPos val="r"/>
    </c:legend>
    <c:plotVisOnly val="1"/>
  </c:chart>
  <c:printSettings>
    <c:headerFooter/>
    <c:pageMargins b="0.750000000000005" l="0.70000000000000062" r="0.70000000000000062" t="0.750000000000005"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1019175</xdr:colOff>
      <xdr:row>18</xdr:row>
      <xdr:rowOff>57150</xdr:rowOff>
    </xdr:from>
    <xdr:to>
      <xdr:col>11</xdr:col>
      <xdr:colOff>257176</xdr:colOff>
      <xdr:row>35</xdr:row>
      <xdr:rowOff>152400</xdr:rowOff>
    </xdr:to>
    <xdr:graphicFrame macro="">
      <xdr:nvGraphicFramePr>
        <xdr:cNvPr id="2" name="Diagra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ndreas Warberg" refreshedDate="39371.588079166664" createdVersion="3" refreshedVersion="3" minRefreshableVersion="3" recordCount="47">
  <cacheSource type="worksheet">
    <worksheetSource name="Articles"/>
  </cacheSource>
  <cacheFields count="16">
    <cacheField name="Key" numFmtId="0">
      <sharedItems containsMixedTypes="1" containsNumber="1" containsInteger="1" minValue="1" maxValue="45"/>
    </cacheField>
    <cacheField name="Optimization method" numFmtId="0">
      <sharedItems containsBlank="1" count="15">
        <s v="Tabu Search"/>
        <s v="Genetic Algorithm"/>
        <s v="(Informational)"/>
        <s v="Integer Programming"/>
        <s v="Dynamic Programming"/>
        <s v="Simulation, Dynamic Programming"/>
        <s v="Reinforcement learning"/>
        <s v="Neural networks, fuzzy logic"/>
        <m/>
        <s v="Numerical search"/>
        <s v="Simulation"/>
        <s v="Modelling"/>
        <s v="Agent network"/>
        <s v="Particle Swarm Optimization"/>
        <s v="Gradient" u="1"/>
      </sharedItems>
    </cacheField>
    <cacheField name="Architecture" numFmtId="0">
      <sharedItems containsBlank="1"/>
    </cacheField>
    <cacheField name="Demand forecast base" numFmtId="0">
      <sharedItems containsBlank="1"/>
    </cacheField>
    <cacheField name="Network size" numFmtId="0">
      <sharedItems containsBlank="1" containsMixedTypes="1" containsNumber="1" containsInteger="1" minValue="1" maxValue="75"/>
    </cacheField>
    <cacheField name="Data set" numFmtId="0">
      <sharedItems containsBlank="1"/>
    </cacheField>
    <cacheField name="Synchronization type" numFmtId="0">
      <sharedItems containsBlank="1"/>
    </cacheField>
    <cacheField name="MOE" numFmtId="0">
      <sharedItems containsBlank="1"/>
    </cacheField>
    <cacheField name="Simulator" numFmtId="0">
      <sharedItems containsBlank="1" containsMixedTypes="1" containsNumber="1" containsInteger="1" minValue="26" maxValue="26"/>
    </cacheField>
    <cacheField name="Year" numFmtId="0">
      <sharedItems containsSemiMixedTypes="0" containsString="0" containsNumber="1" containsInteger="1" minValue="1952" maxValue="2007" count="19">
        <n v="2006"/>
        <n v="2007"/>
        <n v="2000"/>
        <n v="2004"/>
        <n v="2002"/>
        <n v="1996"/>
        <n v="1991"/>
        <n v="1986"/>
        <n v="2005"/>
        <n v="2001"/>
        <n v="1975"/>
        <n v="1977"/>
        <n v="1999"/>
        <n v="2003"/>
        <n v="1995"/>
        <n v="1992"/>
        <n v="1952"/>
        <n v="1958"/>
        <n v="1968" u="1"/>
      </sharedItems>
    </cacheField>
    <cacheField name="Journal" numFmtId="0">
      <sharedItems containsBlank="1"/>
    </cacheField>
    <cacheField name="Authors" numFmtId="0">
      <sharedItems/>
    </cacheField>
    <cacheField name="Title" numFmtId="0">
      <sharedItems/>
    </cacheField>
    <cacheField name="Cited in" numFmtId="0">
      <sharedItems containsBlank="1" containsMixedTypes="1" containsNumber="1" containsInteger="1" minValue="1" maxValue="41"/>
    </cacheField>
    <cacheField name="Importance" numFmtId="0">
      <sharedItems containsMixedTypes="1" containsNumber="1" containsInteger="1" minValue="1" maxValue="6"/>
    </cacheField>
    <cacheField name="Comments" numFmtId="0">
      <sharedItems containsBlank="1" longText="1"/>
    </cacheField>
  </cacheFields>
</pivotCacheDefinition>
</file>

<file path=xl/pivotCache/pivotCacheRecords1.xml><?xml version="1.0" encoding="utf-8"?>
<pivotCacheRecords xmlns="http://schemas.openxmlformats.org/spreadsheetml/2006/main" xmlns:r="http://schemas.openxmlformats.org/officeDocument/2006/relationships" count="47">
  <r>
    <n v="1"/>
    <x v="0"/>
    <m/>
    <s v="Adaptive"/>
    <m/>
    <m/>
    <s v="Phase based"/>
    <s v="Average delay"/>
    <s v="CORSIM"/>
    <x v="0"/>
    <s v="Research Report SWUTC"/>
    <s v="Michael Shenoda, Randy Machemehl "/>
    <s v="Development of a Phase-by-Phase, Arrival-Based, Delay-Optimized Adaptive Traffic Signal Control Methodology with Metaheuristic Search"/>
    <m/>
    <s v=""/>
    <s v="Elaborate in discussing alternatives etc. Some programming in Excel. Includes source code. Review of research in adaptive signal control. Probably the article, which takes the most realistic view on the problem."/>
  </r>
  <r>
    <n v="2"/>
    <x v="1"/>
    <s v="SATURN"/>
    <s v="Adaptive"/>
    <n v="75"/>
    <s v="Chester, UK"/>
    <s v="Common cycle"/>
    <s v="Minimize travel time"/>
    <s v="SATURN"/>
    <x v="1"/>
    <s v="Computer-Aided Civil and Infrastructure Engineering"/>
    <s v="Fitsum Teklu, Agachai Sumalee, David Watling"/>
    <s v="A Genetic Algorithm Approach for Optimizing Traffic Control Signals Considering Routing"/>
    <m/>
    <s v=""/>
    <s v="Large network. Adaptive system (considers re-routing)."/>
  </r>
  <r>
    <n v="3"/>
    <x v="2"/>
    <m/>
    <m/>
    <m/>
    <m/>
    <m/>
    <m/>
    <m/>
    <x v="1"/>
    <m/>
    <s v="US Dep. Of Transportation, Intelligent Transportation Systems"/>
    <s v="Traffic Signal Control - Deployment Benefits and lessons learned"/>
    <m/>
    <s v=""/>
    <m/>
  </r>
  <r>
    <n v="4"/>
    <x v="1"/>
    <s v="CORSIM"/>
    <s v="Historical"/>
    <n v="9"/>
    <s v="Chicago (semi-grid)"/>
    <s v="Common cycle"/>
    <s v="Maximum queue length"/>
    <s v="CORSIM"/>
    <x v="2"/>
    <s v="Technical Report Number 110 at National Institute of Statistical Sciences"/>
    <s v="Byungkyu “Brian” Park, Nagui M. Rouphail, Jerome Sacks"/>
    <s v="Assessment of a Stochastic Signal Optimization Method Using Microsimulation"/>
    <m/>
    <s v=""/>
    <s v="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
  </r>
  <r>
    <n v="5"/>
    <x v="3"/>
    <s v="Cell-transmission"/>
    <s v="Historical"/>
    <n v="2"/>
    <s v="Artificial"/>
    <s v="Common cycle"/>
    <s v="Combination of total delay and number of stops (same as TRANSYT)"/>
    <s v="(none)"/>
    <x v="3"/>
    <s v="IEEE TRANSACTIONS ON INTELLIGENT TRANSPORTATION SYSTEMS"/>
    <s v="Wei-Hua Lin, Chenghong Wang"/>
    <s v="An Enhanced 0–1 Mixed-Integer LP Formulation for Traffic Signal Control"/>
    <m/>
    <s v=""/>
    <s v="Some questionable assumptions eg. vehicles accelerate to full speed instantly when light switches from red to green. Considers emergency vehicles as an extension."/>
  </r>
  <r>
    <n v="6"/>
    <x v="3"/>
    <m/>
    <m/>
    <m/>
    <m/>
    <m/>
    <m/>
    <m/>
    <x v="3"/>
    <s v="Intelligent Transportation Systems"/>
    <s v="Nathan H. Gartner, Chronis Stamatiadis"/>
    <s v="Progression Optimization Featuring&#10;Arterial- and Route-Based Priority&#10;Signal Networks"/>
    <m/>
    <s v=""/>
    <s v="(There are many references to other articles by these authors, though not this one in particular). Heuristics for speeding up the solve process by putting focus on vehicle platoons."/>
  </r>
  <r>
    <n v="7"/>
    <x v="1"/>
    <m/>
    <m/>
    <m/>
    <m/>
    <m/>
    <m/>
    <m/>
    <x v="4"/>
    <s v="The IEEE 5th International Conference of ITS"/>
    <s v="Sei Takahashi, Hideo Nakamura, Hiroshi Kazama, Tomokazu Fujikura"/>
    <s v="Genetic Algorithm Approach for Adaptive Offset Optimization for the Fluctuation of Traffic Flow"/>
    <m/>
    <s v=""/>
    <s v="Simple, embedded, simulator. Vehicles follows a route from start to finish (no turning off)."/>
  </r>
  <r>
    <n v="8"/>
    <x v="4"/>
    <s v="ALLONS-D"/>
    <s v="Adaptive"/>
    <m/>
    <m/>
    <m/>
    <m/>
    <m/>
    <x v="5"/>
    <s v="Proceedings  of  the 1996  IEEE  International &#10;Conference on Control Applications "/>
    <s v="I. Porche, M. Sampath, R. Sengupta,  Y.-L. Chen,  S.  Lafortune "/>
    <s v="A Decentralized Scheme for Real-Time Optimization of Traffic Signals"/>
    <m/>
    <s v=""/>
    <s v="ALLONS-D, adaptive scheme, no fixed-cycle-length requirement. Each signal controller minimizes delay for approaches to intersection."/>
  </r>
  <r>
    <n v="9"/>
    <x v="3"/>
    <s v="MULTIBAND"/>
    <s v="Historical"/>
    <n v="9"/>
    <s v="New Orleans"/>
    <s v="Common cycle"/>
    <s v="Average delay"/>
    <s v="NETSIM"/>
    <x v="6"/>
    <s v="Transportation Research part B"/>
    <s v="Gartner, N.H.;  Assmann, S.F.;  Lasaga, F.;  Hou, D.L."/>
    <s v="A multi-band approach to arterial traffic signal optimization"/>
    <n v="6"/>
    <n v="1"/>
    <s v="Progression method (platooning). Model walkthrough (MAXBAND, PASSER II, TRANSYT)"/>
  </r>
  <r>
    <n v="10"/>
    <x v="5"/>
    <s v="Stochastic inventory model"/>
    <s v="Historical"/>
    <n v="1"/>
    <s v="Single signal with varying traffic volume"/>
    <s v="(n/a)"/>
    <s v="Average delay"/>
    <s v="SIMAN"/>
    <x v="7"/>
    <s v="Proceedings  of  the  1986  Winter  Simulation  Conjerence"/>
    <s v="Saka, A.A.;  Anandalingam, G.;  Garber, N.J."/>
    <s v="Traffic signal timing at isolated intersections using simulation optimization"/>
    <n v="41"/>
    <n v="1"/>
    <s v="Problem cast into realm of queueing theory. Postulates that erlang distributed arrivals are the most realistic (platooning?)."/>
  </r>
  <r>
    <n v="11"/>
    <x v="3"/>
    <s v="HPN/MLDS"/>
    <s v="Adaptive"/>
    <n v="16"/>
    <s v="Artificial grid"/>
    <m/>
    <m/>
    <s v="Cellular Automaton"/>
    <x v="0"/>
    <s v="IEEJ Trans. EIS"/>
    <s v="Tatsuya Kato, YoungWoo Kim, Shigeru Okuma and Tatsuo Narikiyo"/>
    <s v="Large-Scale Traffic Network Control Based on Convex Programming Coupled with B&amp;B Strategy"/>
    <m/>
    <s v=""/>
    <m/>
  </r>
  <r>
    <n v="12"/>
    <x v="4"/>
    <s v="Fuzzy logic controller with GA learning"/>
    <s v="Adaptive"/>
    <n v="2"/>
    <s v="Simple two-junction network"/>
    <m/>
    <s v="Average delay and number of stops"/>
    <s v="(A simulator is used but the name is not given)"/>
    <x v="8"/>
    <s v="IEEE TRANSACTIONS ON INTELLIGENT TRANSPORTATION SYSTEMS"/>
    <s v="Tsin Hing Heung;  Tin Kin Ho;  Yu Fai Fung"/>
    <s v="Coordinated road-junction traffic control by dynamic programming"/>
    <m/>
    <s v=""/>
    <s v="Puts focus on decentralized control. Points out that adaptive control systems such as SCOOT has been shown to outperform static optimization eg. Webster but not in an overwhelmingly manner."/>
  </r>
  <r>
    <n v="13"/>
    <x v="1"/>
    <m/>
    <s v="Historical"/>
    <n v="16"/>
    <s v="Artifical, but complex, network"/>
    <m/>
    <s v="Average time in network"/>
    <s v="Cellular Automaton"/>
    <x v="3"/>
    <s v="IEEE"/>
    <s v="Sanchez, J.J.;  Galan, M.;  Rubio, E."/>
    <s v="Genetic algorithms and cellular automata: a new architecture for traffic light cycles optimization"/>
    <m/>
    <s v=""/>
    <s v="Deterministic simulator (consider fixed seed instead). Chromosone evaluation parrallelized."/>
  </r>
  <r>
    <n v="14"/>
    <x v="6"/>
    <s v="Highly adaptive learning scheme"/>
    <s v="Online"/>
    <s v="15 (urban), 14 (surrounding highway)"/>
    <s v="Urban street network and ordinary streets with highways around"/>
    <m/>
    <s v="Average delay"/>
    <s v="Green Ligth District"/>
    <x v="3"/>
    <s v="IEEE Intelligent Vehicles Symposium "/>
    <s v="Wiering, M.;  Vreeken, J.;  van Veenen, J.;  Koopman, A."/>
    <s v="Simulation and optimization of traffic in a city"/>
    <m/>
    <s v=""/>
    <s v="Actually learning by punishment. A penalty is given when vehicles wait. Tests a number of signal controller policies."/>
  </r>
  <r>
    <n v="15"/>
    <x v="7"/>
    <m/>
    <s v="Adaptive"/>
    <n v="10"/>
    <s v="Artificial"/>
    <m/>
    <s v="Average delay"/>
    <m/>
    <x v="9"/>
    <s v="IEEE International Fuzzy Systems Conference"/>
    <s v="GiYoung Lim;  JeongJin Kang;  YouSik Hong"/>
    <s v="The optimization of traffic signal light using artificial intelligence"/>
    <m/>
    <s v=""/>
    <s v="Measures the physical length of queues rather than number of vehicles. Supervised learning. Kalman filter for demand prediction."/>
  </r>
  <r>
    <n v="16"/>
    <x v="8"/>
    <m/>
    <m/>
    <m/>
    <m/>
    <m/>
    <m/>
    <m/>
    <x v="0"/>
    <s v="Control Engineering Practice"/>
    <s v="Dotoli, M.;  Fanti, M.P.;  Meloni, C."/>
    <s v="A signal timing plan formulation for urban traffic control"/>
    <m/>
    <s v=""/>
    <m/>
  </r>
  <r>
    <n v="17"/>
    <x v="2"/>
    <m/>
    <m/>
    <m/>
    <m/>
    <m/>
    <m/>
    <m/>
    <x v="3"/>
    <s v="Dansk Vejtidsskrift"/>
    <s v="Peter Bäcker Hansen, Lars Bo Frederiksen, Peter Christensen"/>
    <s v="Signalregulering på Centrumforbindelsen med UTOPIA/SPOT"/>
    <m/>
    <s v=""/>
    <m/>
  </r>
  <r>
    <n v="18"/>
    <x v="2"/>
    <m/>
    <m/>
    <m/>
    <m/>
    <m/>
    <m/>
    <m/>
    <x v="9"/>
    <s v="Dansk Vejtidsskrift"/>
    <s v="Nicoline Varberg, Dorrit Jakobsen"/>
    <s v="MOTION"/>
    <m/>
    <s v=""/>
    <m/>
  </r>
  <r>
    <n v="19"/>
    <x v="2"/>
    <m/>
    <m/>
    <m/>
    <m/>
    <m/>
    <m/>
    <m/>
    <x v="9"/>
    <s v="Dansk Vejtidsskrift"/>
    <s v="Niels Chr. Johannesen"/>
    <s v="Adaptive styresystemer sikrer optimalt investering"/>
    <m/>
    <s v=""/>
    <m/>
  </r>
  <r>
    <n v="20"/>
    <x v="9"/>
    <m/>
    <s v="Historical"/>
    <n v="2"/>
    <s v="Two-phase intersections (left and through and right)"/>
    <s v="Fixed cycle time"/>
    <s v="Average time in network"/>
    <s v="(none)"/>
    <x v="1"/>
    <s v="European Journal of Operational Research"/>
    <s v="Ying, J.Q.;  Lu, H.;  Shi, J."/>
    <s v="An algorithm for local continuous optimization of traffic signals"/>
    <m/>
    <s v=""/>
    <s v="Good explanation of stochastic user equilibrium (SUE) ie. path choice and traffic assignment (Wardrop). Dynamic nature of demand seems neglected."/>
  </r>
  <r>
    <n v="21"/>
    <x v="9"/>
    <m/>
    <s v="Historical"/>
    <n v="6"/>
    <s v="Real data from El Camino Real, Palo Alto, Calif. Various traffic scenarios."/>
    <s v="Fixed cycle time"/>
    <s v="Bandwidth maximization and red meeting probability minimization"/>
    <s v="Paramics 2003 by Quadstone"/>
    <x v="1"/>
    <s v="Journal of Transportation Engineering"/>
    <s v="Yin, Yafeng;  Li, Meng;  Skabardonis, Alexander"/>
    <s v="Offline offset refiner for coordinated actuated signal control systems"/>
    <m/>
    <s v=""/>
    <s v="Non-adaptive. Optimization must be re-run if traffic conditions change by a large factor (they change all the time!). Red meeting probability seems like a good metric (minimize for lead vehicle of platoon and you are less likely to slow a platoon down)."/>
  </r>
  <r>
    <n v="22"/>
    <x v="9"/>
    <s v="QNEW"/>
    <s v="(not mentioned)"/>
    <n v="24"/>
    <s v="Real data from Sioux Falls"/>
    <s v="Common cycle"/>
    <s v="(not clear from text - veh h/h?!)"/>
    <s v="(none)"/>
    <x v="1"/>
    <s v="Information Sciences "/>
    <s v="Chiou, S.W."/>
    <s v="Comparative tests of solution methods for signal-controlled road networks"/>
    <m/>
    <s v=""/>
    <s v="Comparison with GA from article 2 and a sensitivity analysis approach (QNEW&gt;&gt;GA&gt;SAB). Large test network but demand prediction is not discussed. No simulation performed."/>
  </r>
  <r>
    <n v="23"/>
    <x v="8"/>
    <m/>
    <m/>
    <m/>
    <m/>
    <m/>
    <m/>
    <m/>
    <x v="1"/>
    <s v="Networking, Sensing and Control, 2007 IEEE International Conference"/>
    <s v="Heydecker, BG;  Cai, Chen;  Wong, CK"/>
    <s v="Adaptive Dynamic Control for Road Traffic Signals"/>
    <m/>
    <s v=""/>
    <m/>
  </r>
  <r>
    <n v="24"/>
    <x v="8"/>
    <m/>
    <m/>
    <m/>
    <m/>
    <m/>
    <m/>
    <m/>
    <x v="5"/>
    <s v="Transportation Research part B"/>
    <s v="Heydecker, B.G."/>
    <s v="A decomposition approach for signal optimisation in road networks"/>
    <n v="26"/>
    <n v="1"/>
    <m/>
  </r>
  <r>
    <n v="25"/>
    <x v="10"/>
    <s v="Preset timings based on historical data with actuated green time extensions for platoons."/>
    <s v="Actuated"/>
    <n v="1"/>
    <s v="Historical data gathered from rural highways in Indiana"/>
    <s v="(none, single intersection)"/>
    <s v="Total delay"/>
    <s v="TraSim"/>
    <x v="0"/>
    <s v="Transportation Research"/>
    <s v="Jiang, Y.;  Li, S.;  Shamo, D.E."/>
    <s v="A platoon-based traffic signal timing algorithm for major-minor intersection types"/>
    <m/>
    <s v=""/>
    <s v="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
  </r>
  <r>
    <n v="26"/>
    <x v="1"/>
    <s v="TRANSYT"/>
    <s v="Historical"/>
    <n v="6"/>
    <s v="Test network by Allsop and Charlesworth (1977)"/>
    <s v="Common cycle"/>
    <s v="&quot;The sum for all traffic-controlled streams of a weighted linear combination of estimated delay and number of stops per unit time&quot; (From TRANSYT)"/>
    <s v="TRANSYT"/>
    <x v="0"/>
    <s v="Journal of Transportation Engineering"/>
    <s v="Ceylan, Halim"/>
    <s v="Developing combined genetic algorithm - Hill-climbing optimization method for area traffic control"/>
    <m/>
    <s v=""/>
    <s v="Search space reduction technique &quot;ADESS&quot;. Explains about the TRANSYT optimization package. Clear description of GA: &quot;GA's perform a multi-directional search by maintaining a population of potential solutions and encourages information exchange between these directions&quot;."/>
  </r>
  <r>
    <n v="27"/>
    <x v="1"/>
    <s v="TRANSYT"/>
    <s v="Historical"/>
    <s v="Same"/>
    <s v="as"/>
    <s v="in"/>
    <s v="article"/>
    <n v="26"/>
    <x v="3"/>
    <s v="Transportation Research part B"/>
    <s v="Ceylan, Halim;  Bell, Michael G.H."/>
    <s v="Genetic algorithm solution for the stochastic equilibrium transportation networks under congestion"/>
    <m/>
    <s v=""/>
    <s v="Similar to other Ceylan papers (bi-level problem, GA provides input to TRANSYT etc.). Main difference is that high load is handled better. Stage ordering not optimized."/>
  </r>
  <r>
    <n v="28"/>
    <x v="3"/>
    <s v="Arrival model based on demand from platoons"/>
    <s v="Historical"/>
    <n v="9"/>
    <s v="Artificial grid"/>
    <s v="Common cycle"/>
    <s v="Offset performance measured on delay per platoon."/>
    <s v="(none)"/>
    <x v="10"/>
    <s v="Research Report under DOT AND ARO"/>
    <s v="Gartner, Nathan H.; Little, John D. C.; Gabbay, Henry"/>
    <s v="Optimization of Traffic Signal Settings by Mixed-Integer Linear Programming Part I: The Network Coordination Problem."/>
    <m/>
    <s v=""/>
    <s v="Part I handles the signal coordination problem (offsets) and assumes cycle time and green splits are fixed. Emphasis on modeling platoon traffic (arrivals)."/>
  </r>
  <r>
    <n v="29"/>
    <x v="10"/>
    <m/>
    <m/>
    <m/>
    <m/>
    <m/>
    <m/>
    <m/>
    <x v="2"/>
    <s v="JOURNAL OF TRANSPORTATION ENGINEERING "/>
    <s v="Byungkyu &quot;Brian&quot; Park, Nagui M. Rouphail, and Joseph E. Hummer"/>
    <s v="Probabilistic Approach to Implementing Traffic Signal Warrants"/>
    <n v="2"/>
    <n v="1"/>
    <m/>
  </r>
  <r>
    <n v="30"/>
    <x v="3"/>
    <s v="Extension to article 28, queue overflow added"/>
    <s v="Historical"/>
    <s v="Test network from article 28 and also for real-life networks of size 20 and 11 resp"/>
    <s v="Washington DC and Waltham, Massachusetts"/>
    <s v="Common cycle"/>
    <s v="Minimize the delay at intersections and the queue lengths"/>
    <s v="(none)"/>
    <x v="10"/>
    <s v="Research Report under DOT AND ARO"/>
    <s v="Gartner, Nathan H.; Little, John D. C.; Gabbay, Henry"/>
    <s v="Optimization of Traffic Signal Settings by Mixed-Integer Linear Programming Part II: The Network Synchronization Problem."/>
    <m/>
    <s v=""/>
    <s v="The extension to the method of article 28 includes a stochastic element (queue overflow) and now optimizes the common cycle as well as the offsets and splits. Was applied to two real-life networks in the US."/>
  </r>
  <r>
    <n v="31"/>
    <x v="1"/>
    <m/>
    <m/>
    <m/>
    <m/>
    <m/>
    <m/>
    <m/>
    <x v="3"/>
    <s v="Delft University  of Technology and AVV Transport Research Centre"/>
    <s v="Taale, H.;  van Zuylen, H.J."/>
    <s v="Integrated anticipatory control"/>
    <n v="2"/>
    <n v="1"/>
    <m/>
  </r>
  <r>
    <n v="32"/>
    <x v="11"/>
    <m/>
    <m/>
    <m/>
    <m/>
    <m/>
    <m/>
    <m/>
    <x v="11"/>
    <m/>
    <s v="Daganzo, Carlos F., Sheffi, Yosef"/>
    <s v="On Stochastic Models of Traffic Assignment"/>
    <n v="2"/>
    <n v="1"/>
    <m/>
  </r>
  <r>
    <n v="33"/>
    <x v="1"/>
    <s v="TRANSYT"/>
    <s v="Historical"/>
    <s v="Same"/>
    <s v="as"/>
    <s v="in"/>
    <s v="article"/>
    <n v="26"/>
    <x v="3"/>
    <s v="Transportation Research part B"/>
    <s v="Ceylan, H.;  Bell, M.G.H."/>
    <s v="Traffic signal timing optimisation based on genetic algorithm approach, including drivers' routing"/>
    <s v="2;22;25;26"/>
    <n v="4"/>
    <s v="Bilevel optimization (signal setting and traffic assignment)."/>
  </r>
  <r>
    <n v="34"/>
    <x v="9"/>
    <s v="TRANSYT"/>
    <s v="Historical"/>
    <s v="Same"/>
    <s v="as"/>
    <s v="in"/>
    <s v="article"/>
    <n v="26"/>
    <x v="12"/>
    <s v="Ph.D Thesis at University College, London"/>
    <s v="Chiou, S.W."/>
    <s v="Optimization of Area Traffic Control for Equilibrium Network Flows. "/>
    <s v="2;20;22;33"/>
    <n v="4"/>
    <m/>
  </r>
  <r>
    <n v="35"/>
    <x v="1"/>
    <m/>
    <m/>
    <m/>
    <m/>
    <m/>
    <m/>
    <m/>
    <x v="13"/>
    <s v="A Research Project Report &#10;For the Center for ITS Implementation Research (ITS)  &#10;A U.S. DOT University Transportation Center "/>
    <s v="Anil Kamarajugadda, Dr. Byungkyu &quot;Brian&quot; Park "/>
    <s v="Stochastic Traffic Signal Timing Optimization "/>
    <m/>
    <s v=""/>
    <m/>
  </r>
  <r>
    <n v="36"/>
    <x v="3"/>
    <m/>
    <m/>
    <m/>
    <m/>
    <m/>
    <m/>
    <m/>
    <x v="14"/>
    <s v="IEEE"/>
    <s v="Ramanathan, B.;  McNally, M.G.;  Jayakrishnan, R."/>
    <s v="Formulation of modern signal control operations as a non-linear mixed integer program"/>
    <n v="5"/>
    <n v="1"/>
    <m/>
  </r>
  <r>
    <n v="37"/>
    <x v="3"/>
    <m/>
    <m/>
    <m/>
    <m/>
    <m/>
    <m/>
    <m/>
    <x v="4"/>
    <s v="Mathematical  and  Computer  Modelling"/>
    <s v="Gartner, N.H.;  Stamatiadis, C."/>
    <s v="Arterial-based control of traffic flow in urban grid networks"/>
    <n v="6"/>
    <n v="1"/>
    <m/>
  </r>
  <r>
    <n v="38"/>
    <x v="9"/>
    <s v="Treats intersection as a server in a queue system"/>
    <s v="Adaptive"/>
    <n v="1"/>
    <s v="Single intersection with different flows"/>
    <s v="Phase based"/>
    <s v="Average delay"/>
    <s v="MATLAB"/>
    <x v="1"/>
    <s v="IEEE TRANSACTIONS ON INTELLIGENT TRANSPORTATION SYSTEMS"/>
    <s v="Mirchandani, P. B.;  Zou, N."/>
    <s v="Queuing Models for Analysis of Traffic Adaptive Signal Control"/>
    <m/>
    <s v=""/>
    <s v="Only single intersection considered. Mentions performance problems. Shows that simulation is more realistic than analytical forecast."/>
  </r>
  <r>
    <n v="39"/>
    <x v="12"/>
    <s v="Webster, frequent updates"/>
    <s v="Historical"/>
    <n v="1"/>
    <s v="MinQuan W. Rd. and ChenDer Rd."/>
    <m/>
    <m/>
    <s v="(none)"/>
    <x v="0"/>
    <s v="Springer"/>
    <s v="Lee, Dong-liang;  Deng, Lawrence Y."/>
    <s v="Self Awareness and Adaptive Traffic Signal Control System for Smart World"/>
    <m/>
    <s v=""/>
    <m/>
  </r>
  <r>
    <n v="40"/>
    <x v="9"/>
    <m/>
    <s v="Historical"/>
    <m/>
    <m/>
    <m/>
    <m/>
    <m/>
    <x v="3"/>
    <s v="Transportation Science"/>
    <s v="Michael Patriksson"/>
    <s v="Sensitivity analysis of traffic equilibria"/>
    <n v="22"/>
    <n v="1"/>
    <m/>
  </r>
  <r>
    <n v="41"/>
    <x v="1"/>
    <s v="NSGA II"/>
    <s v="Historical"/>
    <n v="1"/>
    <s v="Two-phase isolated intersection"/>
    <m/>
    <m/>
    <m/>
    <x v="13"/>
    <s v="Intelligent Vehicles Symposium, 2003. Proceedings. IEEE"/>
    <s v="Sun, D.;  Benekohal, R.F.;  Waller, S.T."/>
    <s v="Multiobjective traffic signal timing optimization using non-dominated sorting genetic algorithm"/>
    <m/>
    <s v=""/>
    <s v="Multiple objectives eg. minimize delay, stops and fuel consumption and maximize throughput. &quot;Minimizing delays lead to short cycle times while minimizing stops lead to long cycle times&quot;. Tests the NSGA II algorithm on three different scenarios. Uses Webster for min cycle length in two of the scenarios."/>
  </r>
  <r>
    <n v="42"/>
    <x v="13"/>
    <m/>
    <m/>
    <m/>
    <m/>
    <m/>
    <m/>
    <m/>
    <x v="0"/>
    <s v="9th International Conference on Control, Automation, Robotics and Vision, 2006, ICARCV '06"/>
    <s v="Chen, Juan;  Xu, Lihong"/>
    <s v="Road-junction traffic signal timing optimization by an adaptive particle swarm algorithm"/>
    <m/>
    <s v=""/>
    <m/>
  </r>
  <r>
    <n v="43"/>
    <x v="1"/>
    <s v="TRANSYT-7F (extended)"/>
    <s v="No"/>
    <s v="functional"/>
    <s v="test"/>
    <s v="Individual"/>
    <s v="Various options"/>
    <s v="TRANSYT-7F"/>
    <x v="15"/>
    <s v="Intelligent Vehicles '92 Symposium., Proceedings of the"/>
    <s v="Leonard, J.D., II;  Ramanathan, B.;  Recker, W.W."/>
    <s v="A real-time information processing algorithm for the evaluation and implementation of ATMS strategies"/>
    <m/>
    <s v=""/>
    <s v="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
  </r>
  <r>
    <n v="44"/>
    <x v="8"/>
    <s v="RHODES"/>
    <s v="Adaptive"/>
    <m/>
    <m/>
    <m/>
    <m/>
    <m/>
    <x v="9"/>
    <s v="Transportation Research Part C: Emerging Technologies"/>
    <s v="Mirchandani, P.;  Head, L."/>
    <s v="A real-time traffic signal control system: architecture, algorithms, and analysis"/>
    <n v="1"/>
    <n v="1"/>
    <m/>
  </r>
  <r>
    <n v="45"/>
    <x v="8"/>
    <s v="ALLONS-D"/>
    <s v="Adaptive"/>
    <m/>
    <m/>
    <m/>
    <m/>
    <m/>
    <x v="12"/>
    <s v="Journal of Intelligent Transportation Systems"/>
    <s v="Isaac Porche; Stéphane Lafortune"/>
    <s v="Adaptive Look-ahead Optimization of Traffic Signals"/>
    <m/>
    <s v=""/>
    <m/>
  </r>
  <r>
    <s v="Wardrop"/>
    <x v="8"/>
    <m/>
    <m/>
    <m/>
    <m/>
    <m/>
    <m/>
    <m/>
    <x v="16"/>
    <s v="Proceedings Institute of Civil&#10;Engineering"/>
    <s v="Wardrop, J.G."/>
    <s v="Some theoretical aspects of road traffic research"/>
    <s v="20;28"/>
    <n v="2"/>
    <s v="Many references to this paper &quot;Wardrop Equilibrium&quot;."/>
  </r>
  <r>
    <s v="Webster"/>
    <x v="8"/>
    <m/>
    <m/>
    <m/>
    <m/>
    <m/>
    <m/>
    <m/>
    <x v="17"/>
    <s v=" Great Britain Department of Scientific and Industrial Research"/>
    <s v="Webster, F. V."/>
    <s v="Traffic Signal Setting"/>
    <s v="1; 10; 28; 38; 41; 43"/>
    <n v="6"/>
    <s v="Single intersection only. Minimum cycle length."/>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el1" cacheId="0" applyNumberFormats="0" applyBorderFormats="0" applyFontFormats="0" applyPatternFormats="0" applyAlignmentFormats="0" applyWidthHeightFormats="1" dataCaption="Værdier" grandTotalCaption="Total for method" updatedVersion="3" minRefreshableVersion="3" showCalcMbrs="0" useAutoFormatting="1" itemPrintTitles="1" createdVersion="3" indent="0" outline="1" outlineData="1" multipleFieldFilters="0" chartFormat="3" rowHeaderCaption="Method" colHeaderCaption="Publication year">
  <location ref="A3:R17" firstHeaderRow="1" firstDataRow="2" firstDataCol="1"/>
  <pivotFields count="16">
    <pivotField dataField="1" showAll="0" defaultSubtotal="0"/>
    <pivotField axis="axisRow" showAll="0" defaultSubtotal="0">
      <items count="15">
        <item h="1" x="2"/>
        <item x="12"/>
        <item x="4"/>
        <item x="1"/>
        <item m="1" x="14"/>
        <item x="3"/>
        <item x="11"/>
        <item x="7"/>
        <item x="9"/>
        <item x="6"/>
        <item x="10"/>
        <item x="5"/>
        <item x="0"/>
        <item h="1" x="8"/>
        <item x="1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axis="axisCol" showAll="0" sortType="ascending">
      <items count="20">
        <item x="16"/>
        <item x="17"/>
        <item m="1" x="18"/>
        <item x="10"/>
        <item x="11"/>
        <item x="7"/>
        <item x="6"/>
        <item x="15"/>
        <item x="14"/>
        <item x="5"/>
        <item x="12"/>
        <item x="2"/>
        <item x="9"/>
        <item x="4"/>
        <item x="13"/>
        <item x="3"/>
        <item x="8"/>
        <item x="0"/>
        <item x="1"/>
        <item t="default"/>
      </items>
    </pivotField>
    <pivotField showAll="0" defaultSubtotal="0"/>
    <pivotField showAll="0"/>
    <pivotField showAll="0"/>
    <pivotField showAll="0" defaultSubtotal="0"/>
    <pivotField showAll="0" defaultSubtotal="0"/>
    <pivotField showAll="0" defaultSubtotal="0"/>
  </pivotFields>
  <rowFields count="1">
    <field x="1"/>
  </rowFields>
  <rowItems count="13">
    <i>
      <x v="1"/>
    </i>
    <i>
      <x v="2"/>
    </i>
    <i>
      <x v="3"/>
    </i>
    <i>
      <x v="5"/>
    </i>
    <i>
      <x v="6"/>
    </i>
    <i>
      <x v="7"/>
    </i>
    <i>
      <x v="8"/>
    </i>
    <i>
      <x v="9"/>
    </i>
    <i>
      <x v="10"/>
    </i>
    <i>
      <x v="11"/>
    </i>
    <i>
      <x v="12"/>
    </i>
    <i>
      <x v="14"/>
    </i>
    <i t="grand">
      <x/>
    </i>
  </rowItems>
  <colFields count="1">
    <field x="9"/>
  </colFields>
  <colItems count="17">
    <i>
      <x v="3"/>
    </i>
    <i>
      <x v="4"/>
    </i>
    <i>
      <x v="5"/>
    </i>
    <i>
      <x v="6"/>
    </i>
    <i>
      <x v="7"/>
    </i>
    <i>
      <x v="8"/>
    </i>
    <i>
      <x v="9"/>
    </i>
    <i>
      <x v="10"/>
    </i>
    <i>
      <x v="11"/>
    </i>
    <i>
      <x v="12"/>
    </i>
    <i>
      <x v="13"/>
    </i>
    <i>
      <x v="14"/>
    </i>
    <i>
      <x v="15"/>
    </i>
    <i>
      <x v="16"/>
    </i>
    <i>
      <x v="17"/>
    </i>
    <i>
      <x v="18"/>
    </i>
    <i t="grand">
      <x/>
    </i>
  </colItems>
  <dataFields count="1">
    <dataField name="Antal af Key" fld="0" subtotal="count" baseField="0" baseItem="0"/>
  </dataFields>
  <chartFormats count="19">
    <chartFormat chart="2" format="53" series="1">
      <pivotArea type="data" outline="0" fieldPosition="0">
        <references count="1">
          <reference field="9" count="1" selected="0">
            <x v="0"/>
          </reference>
        </references>
      </pivotArea>
    </chartFormat>
    <chartFormat chart="2" format="54" series="1">
      <pivotArea type="data" outline="0" fieldPosition="0">
        <references count="1">
          <reference field="9" count="1" selected="0">
            <x v="1"/>
          </reference>
        </references>
      </pivotArea>
    </chartFormat>
    <chartFormat chart="2" format="55" series="1">
      <pivotArea type="data" outline="0" fieldPosition="0">
        <references count="1">
          <reference field="9" count="1" selected="0">
            <x v="2"/>
          </reference>
        </references>
      </pivotArea>
    </chartFormat>
    <chartFormat chart="2" format="56" series="1">
      <pivotArea type="data" outline="0" fieldPosition="0">
        <references count="1">
          <reference field="9" count="1" selected="0">
            <x v="3"/>
          </reference>
        </references>
      </pivotArea>
    </chartFormat>
    <chartFormat chart="2" format="57" series="1">
      <pivotArea type="data" outline="0" fieldPosition="0">
        <references count="1">
          <reference field="9" count="1" selected="0">
            <x v="4"/>
          </reference>
        </references>
      </pivotArea>
    </chartFormat>
    <chartFormat chart="2" format="58" series="1">
      <pivotArea type="data" outline="0" fieldPosition="0">
        <references count="1">
          <reference field="9" count="1" selected="0">
            <x v="5"/>
          </reference>
        </references>
      </pivotArea>
    </chartFormat>
    <chartFormat chart="2" format="59" series="1">
      <pivotArea type="data" outline="0" fieldPosition="0">
        <references count="1">
          <reference field="9" count="1" selected="0">
            <x v="6"/>
          </reference>
        </references>
      </pivotArea>
    </chartFormat>
    <chartFormat chart="2" format="60" series="1">
      <pivotArea type="data" outline="0" fieldPosition="0">
        <references count="1">
          <reference field="9" count="1" selected="0">
            <x v="8"/>
          </reference>
        </references>
      </pivotArea>
    </chartFormat>
    <chartFormat chart="2" format="61" series="1">
      <pivotArea type="data" outline="0" fieldPosition="0">
        <references count="1">
          <reference field="9" count="1" selected="0">
            <x v="9"/>
          </reference>
        </references>
      </pivotArea>
    </chartFormat>
    <chartFormat chart="2" format="62" series="1">
      <pivotArea type="data" outline="0" fieldPosition="0">
        <references count="1">
          <reference field="9" count="1" selected="0">
            <x v="10"/>
          </reference>
        </references>
      </pivotArea>
    </chartFormat>
    <chartFormat chart="2" format="63" series="1">
      <pivotArea type="data" outline="0" fieldPosition="0">
        <references count="1">
          <reference field="9" count="1" selected="0">
            <x v="11"/>
          </reference>
        </references>
      </pivotArea>
    </chartFormat>
    <chartFormat chart="2" format="64" series="1">
      <pivotArea type="data" outline="0" fieldPosition="0">
        <references count="1">
          <reference field="9" count="1" selected="0">
            <x v="12"/>
          </reference>
        </references>
      </pivotArea>
    </chartFormat>
    <chartFormat chart="2" format="65" series="1">
      <pivotArea type="data" outline="0" fieldPosition="0">
        <references count="1">
          <reference field="9" count="1" selected="0">
            <x v="13"/>
          </reference>
        </references>
      </pivotArea>
    </chartFormat>
    <chartFormat chart="2" format="66" series="1">
      <pivotArea type="data" outline="0" fieldPosition="0">
        <references count="1">
          <reference field="9" count="1" selected="0">
            <x v="14"/>
          </reference>
        </references>
      </pivotArea>
    </chartFormat>
    <chartFormat chart="2" format="67" series="1">
      <pivotArea type="data" outline="0" fieldPosition="0">
        <references count="1">
          <reference field="9" count="1" selected="0">
            <x v="15"/>
          </reference>
        </references>
      </pivotArea>
    </chartFormat>
    <chartFormat chart="2" format="68" series="1">
      <pivotArea type="data" outline="0" fieldPosition="0">
        <references count="1">
          <reference field="9" count="1" selected="0">
            <x v="16"/>
          </reference>
        </references>
      </pivotArea>
    </chartFormat>
    <chartFormat chart="2" format="69" series="1">
      <pivotArea type="data" outline="0" fieldPosition="0">
        <references count="1">
          <reference field="9" count="1" selected="0">
            <x v="17"/>
          </reference>
        </references>
      </pivotArea>
    </chartFormat>
    <chartFormat chart="2" format="70" series="1">
      <pivotArea type="data" outline="0" fieldPosition="0">
        <references count="1">
          <reference field="9" count="1" selected="0">
            <x v="18"/>
          </reference>
        </references>
      </pivotArea>
    </chartFormat>
    <chartFormat chart="2" format="71" series="1">
      <pivotArea type="data" outline="0" fieldPosition="0">
        <references count="2">
          <reference field="4294967294" count="1" selected="0">
            <x v="0"/>
          </reference>
          <reference field="9" count="1" selected="0">
            <x v="7"/>
          </reference>
        </references>
      </pivotArea>
    </chartFormat>
  </chartFormats>
  <pivotTableStyleInfo name="PivotStyleMedium3" showRowHeaders="1" showColHeaders="1" showRowStripes="0" showColStripes="0" showLastColumn="1"/>
</pivotTableDefinition>
</file>

<file path=xl/tables/table1.xml><?xml version="1.0" encoding="utf-8"?>
<table xmlns="http://schemas.openxmlformats.org/spreadsheetml/2006/main" id="1" name="Articles" displayName="Articles" ref="A1:Q50" totalsRowCount="1">
  <autoFilter ref="A1:Q49">
    <filterColumn colId="0"/>
    <filterColumn colId="1">
      <filters blank="1"/>
    </filterColumn>
    <filterColumn colId="3"/>
    <filterColumn colId="4"/>
    <filterColumn colId="5"/>
    <filterColumn colId="6"/>
    <filterColumn colId="7"/>
    <filterColumn colId="8"/>
    <filterColumn colId="9"/>
    <filterColumn colId="11"/>
    <filterColumn colId="14"/>
    <filterColumn colId="15"/>
    <filterColumn colId="16"/>
  </autoFilter>
  <sortState ref="A2:Q49">
    <sortCondition descending="1" ref="B1:B49"/>
  </sortState>
  <tableColumns count="17">
    <tableColumn id="5" name="Key" totalsRowLabel="Total"/>
    <tableColumn id="17" name="Referenced #"/>
    <tableColumn id="1" name="Optimization method" dataDxfId="23" totalsRowDxfId="11"/>
    <tableColumn id="13" name="Architecture" dataDxfId="22" totalsRowDxfId="10"/>
    <tableColumn id="10" name="Demand forecast base" dataDxfId="21" totalsRowDxfId="9"/>
    <tableColumn id="9" name="Network size" dataDxfId="20" totalsRowDxfId="8"/>
    <tableColumn id="14" name="Data set" dataDxfId="19" totalsRowDxfId="7"/>
    <tableColumn id="11" name="Synchronization type" dataDxfId="18" totalsRowDxfId="6"/>
    <tableColumn id="12" name="MOE" dataDxfId="17" totalsRowDxfId="5"/>
    <tableColumn id="15" name="Simulator" dataDxfId="16" totalsRowDxfId="4"/>
    <tableColumn id="2" name="Year"/>
    <tableColumn id="16" name="Journal" dataDxfId="15"/>
    <tableColumn id="3" name="Authors" dataDxfId="14" totalsRowDxfId="3"/>
    <tableColumn id="4" name="Title" totalsRowFunction="count" dataDxfId="13" totalsRowDxfId="2"/>
    <tableColumn id="6" name="Cited in" totalsRowDxfId="1"/>
    <tableColumn id="7" name="Importance" dataDxfId="12">
      <calculatedColumnFormula>COMMASEPCOUNT(Articles[[#This Row],[Cited in]])</calculatedColumnFormula>
    </tableColumn>
    <tableColumn id="8" name="Comments" totalsRowDxfId="0"/>
  </tableColumns>
  <tableStyleInfo name="TableStyleMedium10" showFirstColumn="1" showLastColumn="0" showRowStripes="1" showColumnStripes="0"/>
</table>
</file>

<file path=xl/theme/theme1.xml><?xml version="1.0" encoding="utf-8"?>
<a:theme xmlns:a="http://schemas.openxmlformats.org/drawingml/2006/main" name="Kontortema">
  <a:themeElements>
    <a:clrScheme name="Kont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ont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Ark1"/>
  <dimension ref="A1:Q52"/>
  <sheetViews>
    <sheetView tabSelected="1" zoomScale="70" zoomScaleNormal="70" workbookViewId="0">
      <selection activeCell="B30" sqref="B30"/>
    </sheetView>
  </sheetViews>
  <sheetFormatPr defaultRowHeight="15"/>
  <cols>
    <col min="1" max="1" width="5.5703125" customWidth="1"/>
    <col min="2" max="2" width="19.85546875" customWidth="1"/>
    <col min="3" max="3" width="18.85546875" customWidth="1"/>
    <col min="4" max="4" width="12.5703125" customWidth="1"/>
    <col min="5" max="5" width="12.42578125" customWidth="1"/>
    <col min="6" max="6" width="7.5703125" customWidth="1"/>
    <col min="7" max="7" width="8.28515625" customWidth="1"/>
    <col min="8" max="8" width="12.85546875" customWidth="1"/>
    <col min="9" max="9" width="12.5703125" customWidth="1"/>
    <col min="10" max="10" width="9.5703125" customWidth="1"/>
    <col min="11" max="11" width="5.7109375" customWidth="1"/>
    <col min="12" max="13" width="24" customWidth="1"/>
    <col min="14" max="14" width="39.5703125" customWidth="1"/>
    <col min="15" max="15" width="8.7109375" customWidth="1"/>
    <col min="16" max="16" width="3.85546875" customWidth="1"/>
    <col min="17" max="17" width="61.42578125" bestFit="1" customWidth="1"/>
    <col min="18" max="22" width="5" customWidth="1"/>
    <col min="23" max="23" width="10.85546875" bestFit="1" customWidth="1"/>
  </cols>
  <sheetData>
    <row r="1" spans="1:17">
      <c r="A1" s="10" t="s">
        <v>145</v>
      </c>
      <c r="B1" t="s">
        <v>320</v>
      </c>
      <c r="C1" t="s">
        <v>97</v>
      </c>
      <c r="D1" t="s">
        <v>216</v>
      </c>
      <c r="E1" t="s">
        <v>105</v>
      </c>
      <c r="F1" t="s">
        <v>84</v>
      </c>
      <c r="G1" t="s">
        <v>90</v>
      </c>
      <c r="H1" t="s">
        <v>100</v>
      </c>
      <c r="I1" t="s">
        <v>87</v>
      </c>
      <c r="J1" t="s">
        <v>94</v>
      </c>
      <c r="K1" t="s">
        <v>0</v>
      </c>
      <c r="L1" t="s">
        <v>148</v>
      </c>
      <c r="M1" t="s">
        <v>2</v>
      </c>
      <c r="N1" t="s">
        <v>3</v>
      </c>
      <c r="O1" t="s">
        <v>65</v>
      </c>
      <c r="P1" t="s">
        <v>64</v>
      </c>
      <c r="Q1" t="s">
        <v>80</v>
      </c>
    </row>
    <row r="2" spans="1:17" ht="60" hidden="1">
      <c r="A2">
        <v>1</v>
      </c>
      <c r="B2">
        <v>6</v>
      </c>
      <c r="C2" s="4" t="s">
        <v>93</v>
      </c>
      <c r="D2" s="4"/>
      <c r="E2" s="4" t="s">
        <v>85</v>
      </c>
      <c r="F2" s="4"/>
      <c r="G2" s="4"/>
      <c r="H2" s="4" t="s">
        <v>98</v>
      </c>
      <c r="I2" s="4" t="s">
        <v>92</v>
      </c>
      <c r="J2" s="4" t="s">
        <v>96</v>
      </c>
      <c r="K2">
        <v>2006</v>
      </c>
      <c r="L2" s="4" t="s">
        <v>206</v>
      </c>
      <c r="M2" s="4" t="s">
        <v>6</v>
      </c>
      <c r="N2" s="1" t="s">
        <v>4</v>
      </c>
      <c r="P2" s="6" t="str">
        <f>COMMASEPCOUNT(Articles[[#This Row],[Cited in]])</f>
        <v/>
      </c>
      <c r="Q2" s="8" t="s">
        <v>214</v>
      </c>
    </row>
    <row r="3" spans="1:17" ht="210" hidden="1">
      <c r="A3">
        <v>26</v>
      </c>
      <c r="B3">
        <v>3</v>
      </c>
      <c r="C3" s="4" t="s">
        <v>5</v>
      </c>
      <c r="D3" s="4" t="s">
        <v>173</v>
      </c>
      <c r="E3" s="4" t="s">
        <v>91</v>
      </c>
      <c r="F3" s="4">
        <v>6</v>
      </c>
      <c r="G3" s="4" t="s">
        <v>176</v>
      </c>
      <c r="H3" s="4" t="s">
        <v>99</v>
      </c>
      <c r="I3" s="4" t="s">
        <v>212</v>
      </c>
      <c r="J3" s="4" t="s">
        <v>173</v>
      </c>
      <c r="K3">
        <v>2006</v>
      </c>
      <c r="L3" s="3" t="s">
        <v>150</v>
      </c>
      <c r="M3" s="4" t="s">
        <v>57</v>
      </c>
      <c r="N3" s="1" t="s">
        <v>56</v>
      </c>
      <c r="P3" s="6" t="str">
        <f>COMMASEPCOUNT(Articles[[#This Row],[Cited in]])</f>
        <v/>
      </c>
      <c r="Q3" s="8" t="s">
        <v>175</v>
      </c>
    </row>
    <row r="4" spans="1:17" ht="180" hidden="1">
      <c r="A4" s="2">
        <v>42</v>
      </c>
      <c r="B4" s="2">
        <v>2</v>
      </c>
      <c r="C4" s="5" t="s">
        <v>194</v>
      </c>
      <c r="D4" s="5" t="s">
        <v>271</v>
      </c>
      <c r="E4" s="5" t="s">
        <v>91</v>
      </c>
      <c r="F4" s="4">
        <v>2</v>
      </c>
      <c r="G4" s="4" t="s">
        <v>272</v>
      </c>
      <c r="H4" s="5" t="s">
        <v>99</v>
      </c>
      <c r="I4" s="5" t="s">
        <v>274</v>
      </c>
      <c r="J4" s="5" t="s">
        <v>275</v>
      </c>
      <c r="K4" s="2">
        <v>2006</v>
      </c>
      <c r="L4" s="5" t="s">
        <v>197</v>
      </c>
      <c r="M4" s="5" t="s">
        <v>196</v>
      </c>
      <c r="N4" s="1" t="s">
        <v>195</v>
      </c>
      <c r="O4" s="2"/>
      <c r="P4" s="7" t="str">
        <f>COMMASEPCOUNT(Articles[[#This Row],[Cited in]])</f>
        <v/>
      </c>
      <c r="Q4" s="8" t="s">
        <v>276</v>
      </c>
    </row>
    <row r="5" spans="1:17" ht="30" hidden="1">
      <c r="A5" s="2">
        <v>34</v>
      </c>
      <c r="B5" s="2">
        <v>2</v>
      </c>
      <c r="C5" s="5" t="s">
        <v>118</v>
      </c>
      <c r="D5" s="5" t="s">
        <v>173</v>
      </c>
      <c r="E5" s="5" t="s">
        <v>91</v>
      </c>
      <c r="F5" s="4" t="s">
        <v>183</v>
      </c>
      <c r="G5" s="4" t="s">
        <v>184</v>
      </c>
      <c r="H5" s="4" t="s">
        <v>187</v>
      </c>
      <c r="I5" s="4" t="s">
        <v>185</v>
      </c>
      <c r="J5" s="4">
        <v>26</v>
      </c>
      <c r="K5" s="2">
        <v>1999</v>
      </c>
      <c r="L5" s="5" t="s">
        <v>189</v>
      </c>
      <c r="M5" s="5" t="s">
        <v>52</v>
      </c>
      <c r="N5" s="3" t="s">
        <v>73</v>
      </c>
      <c r="O5" s="2" t="s">
        <v>188</v>
      </c>
      <c r="P5" s="7">
        <f>COMMASEPCOUNT(Articles[[#This Row],[Cited in]])</f>
        <v>4</v>
      </c>
      <c r="Q5" s="8"/>
    </row>
    <row r="6" spans="1:17" ht="45" hidden="1">
      <c r="A6">
        <v>2</v>
      </c>
      <c r="B6">
        <v>2</v>
      </c>
      <c r="C6" s="5" t="s">
        <v>5</v>
      </c>
      <c r="D6" s="5" t="s">
        <v>201</v>
      </c>
      <c r="E6" s="5" t="s">
        <v>85</v>
      </c>
      <c r="F6" s="5">
        <v>75</v>
      </c>
      <c r="G6" s="5" t="s">
        <v>202</v>
      </c>
      <c r="H6" s="5" t="s">
        <v>99</v>
      </c>
      <c r="I6" s="5" t="s">
        <v>204</v>
      </c>
      <c r="J6" s="5" t="s">
        <v>201</v>
      </c>
      <c r="K6" s="2">
        <v>2007</v>
      </c>
      <c r="L6" s="5" t="s">
        <v>205</v>
      </c>
      <c r="M6" s="5" t="s">
        <v>8</v>
      </c>
      <c r="N6" s="3" t="s">
        <v>7</v>
      </c>
      <c r="P6" s="6" t="str">
        <f>COMMASEPCOUNT(Articles[[#This Row],[Cited in]])</f>
        <v/>
      </c>
      <c r="Q6" s="8" t="s">
        <v>203</v>
      </c>
    </row>
    <row r="7" spans="1:17" ht="45" hidden="1">
      <c r="A7" s="2">
        <v>44</v>
      </c>
      <c r="B7" s="2">
        <v>2</v>
      </c>
      <c r="C7" s="5" t="s">
        <v>19</v>
      </c>
      <c r="D7" s="5" t="s">
        <v>220</v>
      </c>
      <c r="E7" s="5" t="s">
        <v>85</v>
      </c>
      <c r="F7" s="5">
        <v>9</v>
      </c>
      <c r="G7" s="5" t="s">
        <v>294</v>
      </c>
      <c r="H7" s="5" t="s">
        <v>98</v>
      </c>
      <c r="I7" s="5"/>
      <c r="J7" s="5"/>
      <c r="K7" s="2">
        <v>2001</v>
      </c>
      <c r="L7" s="5" t="s">
        <v>219</v>
      </c>
      <c r="M7" s="5" t="s">
        <v>218</v>
      </c>
      <c r="N7" s="1" t="s">
        <v>217</v>
      </c>
      <c r="O7" s="2">
        <v>1</v>
      </c>
      <c r="P7" s="7">
        <f>COMMASEPCOUNT(Articles[[#This Row],[Cited in]])</f>
        <v>1</v>
      </c>
      <c r="Q7" s="8" t="s">
        <v>293</v>
      </c>
    </row>
    <row r="8" spans="1:17" ht="120" hidden="1">
      <c r="A8">
        <v>36</v>
      </c>
      <c r="B8">
        <v>2</v>
      </c>
      <c r="C8" s="4" t="s">
        <v>15</v>
      </c>
      <c r="D8" s="4"/>
      <c r="E8" s="4" t="s">
        <v>91</v>
      </c>
      <c r="F8" s="4" t="s">
        <v>124</v>
      </c>
      <c r="G8" s="4" t="s">
        <v>124</v>
      </c>
      <c r="H8" s="4" t="s">
        <v>270</v>
      </c>
      <c r="I8" s="4" t="s">
        <v>273</v>
      </c>
      <c r="J8" s="4" t="s">
        <v>124</v>
      </c>
      <c r="K8">
        <v>1995</v>
      </c>
      <c r="L8" s="4" t="s">
        <v>267</v>
      </c>
      <c r="M8" s="4" t="s">
        <v>76</v>
      </c>
      <c r="N8" s="1" t="s">
        <v>77</v>
      </c>
      <c r="O8">
        <v>5</v>
      </c>
      <c r="P8" s="6">
        <f>COMMASEPCOUNT(Articles[[#This Row],[Cited in]])</f>
        <v>1</v>
      </c>
      <c r="Q8" s="8" t="s">
        <v>269</v>
      </c>
    </row>
    <row r="9" spans="1:17" ht="105" hidden="1">
      <c r="A9">
        <v>35</v>
      </c>
      <c r="B9">
        <v>1</v>
      </c>
      <c r="C9" s="4" t="s">
        <v>5</v>
      </c>
      <c r="D9" s="4"/>
      <c r="E9" s="4"/>
      <c r="F9" s="4"/>
      <c r="G9" s="4"/>
      <c r="H9" s="4"/>
      <c r="I9" s="4"/>
      <c r="J9" s="4" t="s">
        <v>300</v>
      </c>
      <c r="K9">
        <v>2003</v>
      </c>
      <c r="L9" s="4" t="s">
        <v>266</v>
      </c>
      <c r="M9" s="4" t="s">
        <v>74</v>
      </c>
      <c r="N9" s="1" t="s">
        <v>75</v>
      </c>
      <c r="P9" s="6" t="str">
        <f>COMMASEPCOUNT(Articles[[#This Row],[Cited in]])</f>
        <v/>
      </c>
      <c r="Q9" s="8" t="s">
        <v>301</v>
      </c>
    </row>
    <row r="10" spans="1:17" ht="124.5" hidden="1" customHeight="1">
      <c r="A10">
        <v>4</v>
      </c>
      <c r="B10">
        <v>1</v>
      </c>
      <c r="C10" s="5" t="s">
        <v>5</v>
      </c>
      <c r="D10" s="5" t="s">
        <v>96</v>
      </c>
      <c r="E10" s="5" t="s">
        <v>91</v>
      </c>
      <c r="F10" s="5">
        <v>9</v>
      </c>
      <c r="G10" s="5" t="s">
        <v>209</v>
      </c>
      <c r="H10" s="5" t="s">
        <v>99</v>
      </c>
      <c r="I10" s="5" t="s">
        <v>210</v>
      </c>
      <c r="J10" s="5" t="s">
        <v>96</v>
      </c>
      <c r="K10" s="2">
        <v>2000</v>
      </c>
      <c r="L10" s="5" t="s">
        <v>207</v>
      </c>
      <c r="M10" s="5" t="s">
        <v>12</v>
      </c>
      <c r="N10" s="3" t="s">
        <v>11</v>
      </c>
      <c r="P10" s="6" t="str">
        <f>COMMASEPCOUNT(Articles[[#This Row],[Cited in]])</f>
        <v/>
      </c>
      <c r="Q10" s="8" t="s">
        <v>208</v>
      </c>
    </row>
    <row r="11" spans="1:17" ht="45" hidden="1">
      <c r="A11">
        <v>33</v>
      </c>
      <c r="B11">
        <v>1</v>
      </c>
      <c r="C11" s="4" t="s">
        <v>5</v>
      </c>
      <c r="D11" s="4" t="s">
        <v>173</v>
      </c>
      <c r="E11" s="4" t="s">
        <v>91</v>
      </c>
      <c r="F11" s="4" t="s">
        <v>183</v>
      </c>
      <c r="G11" s="4" t="s">
        <v>184</v>
      </c>
      <c r="H11" s="4" t="s">
        <v>187</v>
      </c>
      <c r="I11" s="4" t="s">
        <v>185</v>
      </c>
      <c r="J11" s="4">
        <v>26</v>
      </c>
      <c r="K11">
        <v>2004</v>
      </c>
      <c r="L11" s="4" t="s">
        <v>186</v>
      </c>
      <c r="M11" s="4" t="s">
        <v>71</v>
      </c>
      <c r="N11" s="1" t="s">
        <v>72</v>
      </c>
      <c r="O11" t="s">
        <v>177</v>
      </c>
      <c r="P11" s="6">
        <f>COMMASEPCOUNT(Articles[[#This Row],[Cited in]])</f>
        <v>4</v>
      </c>
      <c r="Q11" s="8" t="s">
        <v>193</v>
      </c>
    </row>
    <row r="12" spans="1:17" ht="30" hidden="1">
      <c r="A12" s="2">
        <v>32</v>
      </c>
      <c r="B12" s="2">
        <v>1</v>
      </c>
      <c r="C12" s="5" t="s">
        <v>68</v>
      </c>
      <c r="D12" s="4"/>
      <c r="E12" s="5"/>
      <c r="F12" s="5"/>
      <c r="G12" s="5"/>
      <c r="H12" s="5"/>
      <c r="I12" s="4"/>
      <c r="J12" s="5"/>
      <c r="K12" s="2">
        <v>1977</v>
      </c>
      <c r="L12" s="5"/>
      <c r="M12" s="5" t="s">
        <v>70</v>
      </c>
      <c r="N12" s="3" t="s">
        <v>69</v>
      </c>
      <c r="O12">
        <v>2</v>
      </c>
      <c r="P12" s="6">
        <f>COMMASEPCOUNT(Articles[[#This Row],[Cited in]])</f>
        <v>1</v>
      </c>
    </row>
    <row r="13" spans="1:17" ht="150" hidden="1">
      <c r="A13" s="2">
        <v>16</v>
      </c>
      <c r="B13" s="2">
        <v>1</v>
      </c>
      <c r="C13" s="5" t="s">
        <v>15</v>
      </c>
      <c r="D13" s="5" t="s">
        <v>316</v>
      </c>
      <c r="E13" s="5" t="s">
        <v>91</v>
      </c>
      <c r="F13" s="5">
        <v>2</v>
      </c>
      <c r="G13" s="5" t="s">
        <v>317</v>
      </c>
      <c r="H13" s="5" t="s">
        <v>99</v>
      </c>
      <c r="I13" s="5" t="s">
        <v>315</v>
      </c>
      <c r="J13" s="5" t="s">
        <v>124</v>
      </c>
      <c r="K13" s="2">
        <v>2006</v>
      </c>
      <c r="L13" s="5" t="s">
        <v>249</v>
      </c>
      <c r="M13" s="5" t="s">
        <v>248</v>
      </c>
      <c r="N13" s="3" t="s">
        <v>247</v>
      </c>
      <c r="P13" s="6" t="str">
        <f>COMMASEPCOUNT(Articles[[#This Row],[Cited in]])</f>
        <v/>
      </c>
      <c r="Q13" s="8" t="s">
        <v>319</v>
      </c>
    </row>
    <row r="14" spans="1:17" ht="30" hidden="1">
      <c r="A14" s="2">
        <v>9</v>
      </c>
      <c r="B14" s="2">
        <v>1</v>
      </c>
      <c r="C14" s="5" t="s">
        <v>15</v>
      </c>
      <c r="D14" s="5" t="s">
        <v>88</v>
      </c>
      <c r="E14" s="5" t="s">
        <v>91</v>
      </c>
      <c r="F14" s="5">
        <v>9</v>
      </c>
      <c r="G14" s="5" t="s">
        <v>89</v>
      </c>
      <c r="H14" s="5" t="s">
        <v>99</v>
      </c>
      <c r="I14" s="5" t="s">
        <v>92</v>
      </c>
      <c r="J14" s="5" t="s">
        <v>95</v>
      </c>
      <c r="K14" s="2">
        <v>1991</v>
      </c>
      <c r="L14" s="5" t="s">
        <v>257</v>
      </c>
      <c r="M14" s="5" t="s">
        <v>23</v>
      </c>
      <c r="N14" s="3" t="s">
        <v>22</v>
      </c>
      <c r="O14" t="s">
        <v>282</v>
      </c>
      <c r="P14" s="6">
        <f>COMMASEPCOUNT(Articles[[#This Row],[Cited in]])</f>
        <v>2</v>
      </c>
      <c r="Q14" s="8" t="s">
        <v>86</v>
      </c>
    </row>
    <row r="15" spans="1:17" ht="120" hidden="1">
      <c r="A15" s="2">
        <v>37</v>
      </c>
      <c r="B15" s="14">
        <v>1</v>
      </c>
      <c r="C15" s="5" t="s">
        <v>15</v>
      </c>
      <c r="D15" s="5" t="s">
        <v>277</v>
      </c>
      <c r="E15" s="5" t="s">
        <v>91</v>
      </c>
      <c r="F15" s="5" t="s">
        <v>279</v>
      </c>
      <c r="G15" s="5" t="s">
        <v>280</v>
      </c>
      <c r="H15" s="5" t="s">
        <v>99</v>
      </c>
      <c r="I15" s="5" t="s">
        <v>281</v>
      </c>
      <c r="J15" s="5" t="s">
        <v>124</v>
      </c>
      <c r="K15" s="2">
        <v>2002</v>
      </c>
      <c r="L15" s="5" t="s">
        <v>268</v>
      </c>
      <c r="M15" s="5" t="s">
        <v>78</v>
      </c>
      <c r="N15" s="3" t="s">
        <v>79</v>
      </c>
      <c r="O15" s="2">
        <v>6</v>
      </c>
      <c r="P15" s="7">
        <f>COMMASEPCOUNT(Articles[[#This Row],[Cited in]])</f>
        <v>1</v>
      </c>
      <c r="Q15" s="8" t="s">
        <v>278</v>
      </c>
    </row>
    <row r="16" spans="1:17" ht="113.25" hidden="1" customHeight="1">
      <c r="A16">
        <v>30</v>
      </c>
      <c r="B16">
        <v>1</v>
      </c>
      <c r="C16" s="4" t="s">
        <v>15</v>
      </c>
      <c r="D16" s="4" t="s">
        <v>234</v>
      </c>
      <c r="E16" s="4" t="s">
        <v>91</v>
      </c>
      <c r="F16" s="4" t="s">
        <v>235</v>
      </c>
      <c r="G16" s="4" t="s">
        <v>236</v>
      </c>
      <c r="H16" s="4" t="s">
        <v>99</v>
      </c>
      <c r="I16" s="4" t="s">
        <v>238</v>
      </c>
      <c r="J16" s="4" t="s">
        <v>124</v>
      </c>
      <c r="K16">
        <v>1975</v>
      </c>
      <c r="L16" s="4" t="s">
        <v>232</v>
      </c>
      <c r="M16" s="4" t="s">
        <v>61</v>
      </c>
      <c r="N16" s="1" t="s">
        <v>228</v>
      </c>
      <c r="O16">
        <v>24</v>
      </c>
      <c r="P16" s="6">
        <f>COMMASEPCOUNT(Articles[[#This Row],[Cited in]])</f>
        <v>1</v>
      </c>
      <c r="Q16" s="8" t="s">
        <v>237</v>
      </c>
    </row>
    <row r="17" spans="1:17" ht="90" hidden="1">
      <c r="A17">
        <v>24</v>
      </c>
      <c r="B17">
        <v>1</v>
      </c>
      <c r="C17" s="4"/>
      <c r="D17" s="4" t="s">
        <v>306</v>
      </c>
      <c r="E17" s="4" t="s">
        <v>91</v>
      </c>
      <c r="F17" s="4">
        <v>4</v>
      </c>
      <c r="G17" s="4" t="s">
        <v>305</v>
      </c>
      <c r="H17" s="4" t="s">
        <v>99</v>
      </c>
      <c r="I17" s="4" t="s">
        <v>307</v>
      </c>
      <c r="J17" s="4" t="s">
        <v>124</v>
      </c>
      <c r="K17">
        <v>1996</v>
      </c>
      <c r="L17" s="4" t="s">
        <v>186</v>
      </c>
      <c r="M17" s="4" t="s">
        <v>182</v>
      </c>
      <c r="N17" s="1" t="s">
        <v>181</v>
      </c>
      <c r="O17">
        <v>26</v>
      </c>
      <c r="P17" s="6">
        <f>COMMASEPCOUNT(Articles[[#This Row],[Cited in]])</f>
        <v>1</v>
      </c>
      <c r="Q17" s="8" t="s">
        <v>304</v>
      </c>
    </row>
    <row r="18" spans="1:17" ht="135" hidden="1">
      <c r="A18" s="2">
        <v>25</v>
      </c>
      <c r="B18" s="2">
        <v>1</v>
      </c>
      <c r="C18" s="5" t="s">
        <v>55</v>
      </c>
      <c r="D18" s="5" t="s">
        <v>172</v>
      </c>
      <c r="E18" s="5" t="s">
        <v>168</v>
      </c>
      <c r="F18" s="5">
        <v>1</v>
      </c>
      <c r="G18" s="5" t="s">
        <v>169</v>
      </c>
      <c r="H18" s="5" t="s">
        <v>170</v>
      </c>
      <c r="I18" s="5" t="s">
        <v>165</v>
      </c>
      <c r="J18" s="5" t="s">
        <v>164</v>
      </c>
      <c r="K18" s="2">
        <v>2006</v>
      </c>
      <c r="L18" s="3" t="s">
        <v>166</v>
      </c>
      <c r="M18" s="5" t="s">
        <v>54</v>
      </c>
      <c r="N18" s="3" t="s">
        <v>53</v>
      </c>
      <c r="P18" s="6" t="str">
        <f>COMMASEPCOUNT(Articles[[#This Row],[Cited in]])</f>
        <v/>
      </c>
      <c r="Q18" s="8" t="s">
        <v>167</v>
      </c>
    </row>
    <row r="19" spans="1:17" ht="105" hidden="1">
      <c r="A19" s="2">
        <v>43</v>
      </c>
      <c r="B19" s="2">
        <v>1</v>
      </c>
      <c r="C19" s="5" t="s">
        <v>5</v>
      </c>
      <c r="D19" s="5" t="s">
        <v>239</v>
      </c>
      <c r="E19" s="5" t="s">
        <v>245</v>
      </c>
      <c r="F19" s="5" t="s">
        <v>284</v>
      </c>
      <c r="G19" s="5" t="s">
        <v>246</v>
      </c>
      <c r="H19" s="5" t="s">
        <v>242</v>
      </c>
      <c r="I19" s="5" t="s">
        <v>241</v>
      </c>
      <c r="J19" s="5" t="s">
        <v>243</v>
      </c>
      <c r="K19" s="2">
        <v>1992</v>
      </c>
      <c r="L19" s="5" t="s">
        <v>200</v>
      </c>
      <c r="M19" s="5" t="s">
        <v>199</v>
      </c>
      <c r="N19" s="1" t="s">
        <v>198</v>
      </c>
      <c r="O19" s="2"/>
      <c r="P19" s="7" t="str">
        <f>COMMASEPCOUNT(Articles[[#This Row],[Cited in]])</f>
        <v/>
      </c>
      <c r="Q19" s="8" t="s">
        <v>244</v>
      </c>
    </row>
    <row r="20" spans="1:17" hidden="1">
      <c r="A20" s="2">
        <v>40</v>
      </c>
      <c r="B20" s="2">
        <v>1</v>
      </c>
      <c r="C20" s="5" t="s">
        <v>118</v>
      </c>
      <c r="D20" s="5"/>
      <c r="E20" s="5" t="s">
        <v>91</v>
      </c>
      <c r="F20" s="5"/>
      <c r="G20" s="5"/>
      <c r="H20" s="5"/>
      <c r="I20" s="5"/>
      <c r="J20" s="5"/>
      <c r="K20" s="2">
        <v>2004</v>
      </c>
      <c r="L20" s="5" t="s">
        <v>161</v>
      </c>
      <c r="M20" s="5" t="s">
        <v>162</v>
      </c>
      <c r="N20" t="s">
        <v>163</v>
      </c>
      <c r="O20" s="2">
        <v>22</v>
      </c>
      <c r="P20" s="7">
        <f>COMMASEPCOUNT(Articles[[#This Row],[Cited in]])</f>
        <v>1</v>
      </c>
      <c r="Q20" s="8"/>
    </row>
    <row r="21" spans="1:17" ht="90" hidden="1">
      <c r="A21" s="2">
        <v>38</v>
      </c>
      <c r="B21" s="2">
        <v>1</v>
      </c>
      <c r="C21" s="5" t="s">
        <v>118</v>
      </c>
      <c r="D21" s="5" t="s">
        <v>116</v>
      </c>
      <c r="E21" s="5" t="s">
        <v>85</v>
      </c>
      <c r="F21" s="5">
        <v>1</v>
      </c>
      <c r="G21" s="5" t="s">
        <v>114</v>
      </c>
      <c r="H21" s="5" t="s">
        <v>98</v>
      </c>
      <c r="I21" s="5" t="s">
        <v>92</v>
      </c>
      <c r="J21" s="5" t="s">
        <v>115</v>
      </c>
      <c r="K21" s="2">
        <v>2007</v>
      </c>
      <c r="L21" s="5" t="s">
        <v>224</v>
      </c>
      <c r="M21" s="5" t="s">
        <v>113</v>
      </c>
      <c r="N21" s="3" t="s">
        <v>112</v>
      </c>
      <c r="O21" s="2"/>
      <c r="P21" s="7" t="str">
        <f>COMMASEPCOUNT(Articles[[#This Row],[Cited in]])</f>
        <v/>
      </c>
      <c r="Q21" s="8" t="s">
        <v>117</v>
      </c>
    </row>
    <row r="22" spans="1:17" ht="75" hidden="1">
      <c r="A22" s="2">
        <v>46</v>
      </c>
      <c r="B22" s="2">
        <v>1</v>
      </c>
      <c r="C22" s="5" t="s">
        <v>19</v>
      </c>
      <c r="D22" s="5" t="s">
        <v>283</v>
      </c>
      <c r="E22" s="5" t="s">
        <v>85</v>
      </c>
      <c r="F22" s="5">
        <v>16</v>
      </c>
      <c r="G22" s="5" t="s">
        <v>285</v>
      </c>
      <c r="H22" s="5" t="s">
        <v>286</v>
      </c>
      <c r="I22" s="5" t="s">
        <v>287</v>
      </c>
      <c r="J22" s="5" t="s">
        <v>124</v>
      </c>
      <c r="K22" s="2">
        <v>1995</v>
      </c>
      <c r="L22" s="5" t="s">
        <v>289</v>
      </c>
      <c r="M22" s="5" t="s">
        <v>290</v>
      </c>
      <c r="N22" s="3" t="s">
        <v>291</v>
      </c>
      <c r="O22" s="2"/>
      <c r="P22" s="7" t="str">
        <f>COMMASEPCOUNT(Articles[[#This Row],[Cited in]])</f>
        <v/>
      </c>
      <c r="Q22" s="8" t="s">
        <v>292</v>
      </c>
    </row>
    <row r="23" spans="1:17" ht="60" hidden="1">
      <c r="A23" s="2">
        <v>7</v>
      </c>
      <c r="B23" s="2">
        <v>1</v>
      </c>
      <c r="C23" s="5" t="s">
        <v>5</v>
      </c>
      <c r="D23" s="5"/>
      <c r="E23" s="5"/>
      <c r="F23" s="5"/>
      <c r="G23" s="5"/>
      <c r="H23" s="5"/>
      <c r="I23" s="5"/>
      <c r="J23" s="5"/>
      <c r="K23" s="2">
        <v>2002</v>
      </c>
      <c r="L23" s="5" t="s">
        <v>255</v>
      </c>
      <c r="M23" s="5" t="s">
        <v>18</v>
      </c>
      <c r="N23" s="3" t="s">
        <v>17</v>
      </c>
      <c r="P23" s="6" t="str">
        <f>COMMASEPCOUNT(Articles[[#This Row],[Cited in]])</f>
        <v/>
      </c>
      <c r="Q23" s="8" t="s">
        <v>81</v>
      </c>
    </row>
    <row r="24" spans="1:17" ht="75" hidden="1">
      <c r="A24" s="2">
        <v>41</v>
      </c>
      <c r="B24" s="2">
        <v>1</v>
      </c>
      <c r="C24" s="5" t="s">
        <v>5</v>
      </c>
      <c r="D24" s="5" t="s">
        <v>252</v>
      </c>
      <c r="E24" s="5" t="s">
        <v>91</v>
      </c>
      <c r="F24" s="5">
        <v>1</v>
      </c>
      <c r="G24" s="5" t="s">
        <v>250</v>
      </c>
      <c r="H24" s="5" t="s">
        <v>99</v>
      </c>
      <c r="I24" s="5" t="s">
        <v>274</v>
      </c>
      <c r="J24" s="5" t="s">
        <v>124</v>
      </c>
      <c r="K24" s="2">
        <v>2003</v>
      </c>
      <c r="L24" s="5" t="s">
        <v>192</v>
      </c>
      <c r="M24" s="5" t="s">
        <v>191</v>
      </c>
      <c r="N24" s="1" t="s">
        <v>190</v>
      </c>
      <c r="O24" s="2"/>
      <c r="P24" s="7" t="str">
        <f>COMMASEPCOUNT(Articles[[#This Row],[Cited in]])</f>
        <v/>
      </c>
      <c r="Q24" s="8" t="s">
        <v>251</v>
      </c>
    </row>
    <row r="25" spans="1:17" ht="105" hidden="1">
      <c r="A25" s="2">
        <v>12</v>
      </c>
      <c r="B25" s="2">
        <v>1</v>
      </c>
      <c r="C25" s="5" t="s">
        <v>19</v>
      </c>
      <c r="D25" s="5" t="s">
        <v>125</v>
      </c>
      <c r="E25" s="5" t="s">
        <v>85</v>
      </c>
      <c r="F25" s="5">
        <v>2</v>
      </c>
      <c r="G25" s="5" t="s">
        <v>126</v>
      </c>
      <c r="H25" s="5"/>
      <c r="I25" s="5" t="s">
        <v>128</v>
      </c>
      <c r="J25" s="5" t="s">
        <v>127</v>
      </c>
      <c r="K25" s="2">
        <v>2005</v>
      </c>
      <c r="L25" s="5" t="s">
        <v>224</v>
      </c>
      <c r="M25" s="5" t="s">
        <v>28</v>
      </c>
      <c r="N25" s="3" t="s">
        <v>29</v>
      </c>
      <c r="O25">
        <v>42</v>
      </c>
      <c r="P25" s="6">
        <f>COMMASEPCOUNT(Articles[[#This Row],[Cited in]])</f>
        <v>1</v>
      </c>
      <c r="Q25" s="8" t="s">
        <v>129</v>
      </c>
    </row>
    <row r="26" spans="1:17" ht="150" hidden="1">
      <c r="A26">
        <v>31</v>
      </c>
      <c r="B26">
        <v>1</v>
      </c>
      <c r="C26" s="4" t="s">
        <v>5</v>
      </c>
      <c r="D26" s="4" t="s">
        <v>314</v>
      </c>
      <c r="E26" s="4" t="s">
        <v>91</v>
      </c>
      <c r="F26" s="4" t="s">
        <v>310</v>
      </c>
      <c r="G26" s="4" t="s">
        <v>311</v>
      </c>
      <c r="H26" s="4" t="s">
        <v>312</v>
      </c>
      <c r="I26" s="4" t="s">
        <v>273</v>
      </c>
      <c r="J26" s="4" t="s">
        <v>308</v>
      </c>
      <c r="K26">
        <v>2004</v>
      </c>
      <c r="L26" s="4" t="s">
        <v>265</v>
      </c>
      <c r="M26" s="4" t="s">
        <v>67</v>
      </c>
      <c r="N26" s="1" t="s">
        <v>66</v>
      </c>
      <c r="O26">
        <v>2</v>
      </c>
      <c r="P26" s="6">
        <f>COMMASEPCOUNT(Articles[[#This Row],[Cited in]])</f>
        <v>1</v>
      </c>
      <c r="Q26" s="8" t="s">
        <v>309</v>
      </c>
    </row>
    <row r="27" spans="1:17" ht="120.75" hidden="1" customHeight="1">
      <c r="A27" s="2" t="s">
        <v>146</v>
      </c>
      <c r="B27" s="2">
        <v>1</v>
      </c>
      <c r="C27" s="5"/>
      <c r="D27" s="5"/>
      <c r="E27" s="5"/>
      <c r="F27" s="5"/>
      <c r="G27" s="5"/>
      <c r="H27" s="5"/>
      <c r="I27" s="5"/>
      <c r="J27" s="5"/>
      <c r="K27" s="2">
        <v>1952</v>
      </c>
      <c r="L27" s="5" t="s">
        <v>151</v>
      </c>
      <c r="M27" s="5" t="s">
        <v>144</v>
      </c>
      <c r="N27" s="3" t="s">
        <v>226</v>
      </c>
      <c r="O27" s="2" t="s">
        <v>233</v>
      </c>
      <c r="P27" s="7">
        <f>COMMASEPCOUNT(Articles[[#This Row],[Cited in]])</f>
        <v>2</v>
      </c>
      <c r="Q27" s="8" t="s">
        <v>298</v>
      </c>
    </row>
    <row r="28" spans="1:17" ht="45" hidden="1">
      <c r="A28" s="2" t="s">
        <v>147</v>
      </c>
      <c r="B28" s="2">
        <v>1</v>
      </c>
      <c r="C28" s="5" t="s">
        <v>295</v>
      </c>
      <c r="D28" s="5" t="s">
        <v>296</v>
      </c>
      <c r="E28" s="5" t="s">
        <v>91</v>
      </c>
      <c r="F28" s="5"/>
      <c r="G28" s="5"/>
      <c r="H28" s="5"/>
      <c r="I28" s="5"/>
      <c r="J28" s="5"/>
      <c r="K28" s="2">
        <v>1958</v>
      </c>
      <c r="L28" s="5" t="s">
        <v>288</v>
      </c>
      <c r="M28" s="5" t="s">
        <v>110</v>
      </c>
      <c r="N28" s="3" t="s">
        <v>111</v>
      </c>
      <c r="O28" s="2" t="s">
        <v>313</v>
      </c>
      <c r="P28" s="7">
        <f>COMMASEPCOUNT(Articles[[#This Row],[Cited in]])</f>
        <v>8</v>
      </c>
      <c r="Q28" s="8" t="s">
        <v>297</v>
      </c>
    </row>
    <row r="29" spans="1:17" ht="180" hidden="1">
      <c r="A29">
        <v>21</v>
      </c>
      <c r="B29">
        <v>1</v>
      </c>
      <c r="C29" s="4" t="s">
        <v>118</v>
      </c>
      <c r="D29" s="4"/>
      <c r="E29" s="4" t="s">
        <v>91</v>
      </c>
      <c r="F29" s="4">
        <v>6</v>
      </c>
      <c r="G29" s="4" t="s">
        <v>155</v>
      </c>
      <c r="H29" s="4" t="s">
        <v>142</v>
      </c>
      <c r="I29" s="4" t="s">
        <v>153</v>
      </c>
      <c r="J29" s="4" t="s">
        <v>154</v>
      </c>
      <c r="K29">
        <v>2007</v>
      </c>
      <c r="L29" s="4" t="s">
        <v>150</v>
      </c>
      <c r="M29" s="4" t="s">
        <v>50</v>
      </c>
      <c r="N29" s="1" t="s">
        <v>49</v>
      </c>
      <c r="P29" s="6" t="str">
        <f>COMMASEPCOUNT(Articles[[#This Row],[Cited in]])</f>
        <v/>
      </c>
      <c r="Q29" s="8" t="s">
        <v>318</v>
      </c>
    </row>
    <row r="30" spans="1:17" ht="45">
      <c r="A30">
        <v>29</v>
      </c>
      <c r="C30" s="4" t="s">
        <v>55</v>
      </c>
      <c r="D30" s="4"/>
      <c r="E30" s="4"/>
      <c r="F30" s="4"/>
      <c r="G30" s="4"/>
      <c r="H30" s="4"/>
      <c r="I30" s="4"/>
      <c r="J30" s="4"/>
      <c r="K30">
        <v>2000</v>
      </c>
      <c r="L30" s="4" t="s">
        <v>264</v>
      </c>
      <c r="M30" s="4" t="s">
        <v>63</v>
      </c>
      <c r="N30" s="1" t="s">
        <v>62</v>
      </c>
      <c r="O30">
        <v>2</v>
      </c>
      <c r="P30" s="6">
        <f>COMMASEPCOUNT(Articles[[#This Row],[Cited in]])</f>
        <v>1</v>
      </c>
      <c r="Q30" s="8"/>
    </row>
    <row r="31" spans="1:17" ht="45">
      <c r="A31">
        <v>27</v>
      </c>
      <c r="B31" s="13"/>
      <c r="C31" s="4" t="s">
        <v>5</v>
      </c>
      <c r="D31" s="4" t="s">
        <v>173</v>
      </c>
      <c r="E31" s="4" t="s">
        <v>91</v>
      </c>
      <c r="F31" s="4" t="s">
        <v>183</v>
      </c>
      <c r="G31" s="4" t="s">
        <v>184</v>
      </c>
      <c r="H31" s="4" t="s">
        <v>187</v>
      </c>
      <c r="I31" s="4" t="s">
        <v>185</v>
      </c>
      <c r="J31" s="4">
        <v>26</v>
      </c>
      <c r="K31">
        <v>2004</v>
      </c>
      <c r="L31" s="4" t="s">
        <v>186</v>
      </c>
      <c r="M31" s="4" t="s">
        <v>59</v>
      </c>
      <c r="N31" s="1" t="s">
        <v>58</v>
      </c>
      <c r="P31" s="6" t="str">
        <f>COMMASEPCOUNT(Articles[[#This Row],[Cited in]])</f>
        <v/>
      </c>
      <c r="Q31" s="8" t="s">
        <v>227</v>
      </c>
    </row>
    <row r="32" spans="1:17" ht="75">
      <c r="A32">
        <v>22</v>
      </c>
      <c r="B32" s="10"/>
      <c r="C32" s="4" t="s">
        <v>118</v>
      </c>
      <c r="D32" s="4" t="s">
        <v>157</v>
      </c>
      <c r="E32" s="4" t="s">
        <v>156</v>
      </c>
      <c r="F32" s="4">
        <v>24</v>
      </c>
      <c r="G32" s="4" t="s">
        <v>158</v>
      </c>
      <c r="H32" s="4" t="s">
        <v>99</v>
      </c>
      <c r="I32" s="4" t="s">
        <v>174</v>
      </c>
      <c r="J32" s="4" t="s">
        <v>124</v>
      </c>
      <c r="K32">
        <v>2007</v>
      </c>
      <c r="L32" s="4" t="s">
        <v>263</v>
      </c>
      <c r="M32" s="4" t="s">
        <v>52</v>
      </c>
      <c r="N32" s="1" t="s">
        <v>51</v>
      </c>
      <c r="P32" s="6" t="str">
        <f>COMMASEPCOUNT(Articles[[#This Row],[Cited in]])</f>
        <v/>
      </c>
      <c r="Q32" s="8" t="s">
        <v>159</v>
      </c>
    </row>
    <row r="33" spans="1:17" ht="75">
      <c r="A33">
        <v>28</v>
      </c>
      <c r="C33" s="4" t="s">
        <v>15</v>
      </c>
      <c r="D33" s="4" t="s">
        <v>231</v>
      </c>
      <c r="E33" s="4" t="s">
        <v>91</v>
      </c>
      <c r="F33" s="4">
        <v>9</v>
      </c>
      <c r="G33" s="4" t="s">
        <v>101</v>
      </c>
      <c r="H33" s="4" t="s">
        <v>99</v>
      </c>
      <c r="I33" s="4" t="s">
        <v>230</v>
      </c>
      <c r="J33" s="4" t="s">
        <v>124</v>
      </c>
      <c r="K33">
        <v>1975</v>
      </c>
      <c r="L33" s="4" t="s">
        <v>232</v>
      </c>
      <c r="M33" s="4" t="s">
        <v>61</v>
      </c>
      <c r="N33" s="1" t="s">
        <v>60</v>
      </c>
      <c r="O33">
        <v>24</v>
      </c>
      <c r="P33" s="6">
        <f>COMMASEPCOUNT(Articles[[#This Row],[Cited in]])</f>
        <v>1</v>
      </c>
      <c r="Q33" s="8" t="s">
        <v>229</v>
      </c>
    </row>
    <row r="34" spans="1:17" ht="45">
      <c r="A34" s="2">
        <v>15</v>
      </c>
      <c r="B34" s="2"/>
      <c r="C34" s="5" t="s">
        <v>37</v>
      </c>
      <c r="D34" s="5"/>
      <c r="E34" s="5" t="s">
        <v>85</v>
      </c>
      <c r="F34" s="5">
        <v>10</v>
      </c>
      <c r="G34" s="5" t="s">
        <v>140</v>
      </c>
      <c r="H34" s="5"/>
      <c r="I34" s="5" t="s">
        <v>92</v>
      </c>
      <c r="J34" s="5"/>
      <c r="K34" s="2">
        <v>2001</v>
      </c>
      <c r="L34" s="5" t="s">
        <v>261</v>
      </c>
      <c r="M34" s="5" t="s">
        <v>36</v>
      </c>
      <c r="N34" s="3" t="s">
        <v>35</v>
      </c>
      <c r="P34" s="6" t="str">
        <f>COMMASEPCOUNT(Articles[[#This Row],[Cited in]])</f>
        <v/>
      </c>
      <c r="Q34" s="8" t="s">
        <v>139</v>
      </c>
    </row>
    <row r="35" spans="1:17" ht="180">
      <c r="A35">
        <v>23</v>
      </c>
      <c r="C35" s="4" t="s">
        <v>19</v>
      </c>
      <c r="D35" s="4"/>
      <c r="E35" s="4" t="s">
        <v>85</v>
      </c>
      <c r="F35" s="4">
        <v>1</v>
      </c>
      <c r="G35" s="4" t="s">
        <v>140</v>
      </c>
      <c r="H35" s="4" t="s">
        <v>98</v>
      </c>
      <c r="I35" s="4" t="s">
        <v>303</v>
      </c>
      <c r="J35" s="4" t="s">
        <v>127</v>
      </c>
      <c r="K35">
        <v>2007</v>
      </c>
      <c r="L35" s="4" t="s">
        <v>180</v>
      </c>
      <c r="M35" s="4" t="s">
        <v>179</v>
      </c>
      <c r="N35" s="1" t="s">
        <v>178</v>
      </c>
      <c r="P35" s="6" t="str">
        <f>COMMASEPCOUNT(Articles[[#This Row],[Cited in]])</f>
        <v/>
      </c>
      <c r="Q35" s="8" t="s">
        <v>302</v>
      </c>
    </row>
    <row r="36" spans="1:17" ht="70.5" customHeight="1">
      <c r="A36" s="2">
        <v>8</v>
      </c>
      <c r="B36" s="2"/>
      <c r="C36" s="5" t="s">
        <v>19</v>
      </c>
      <c r="D36" s="5" t="s">
        <v>171</v>
      </c>
      <c r="E36" s="5" t="s">
        <v>85</v>
      </c>
      <c r="F36" s="5"/>
      <c r="G36" s="5"/>
      <c r="H36" s="5"/>
      <c r="I36" s="5"/>
      <c r="J36" s="5"/>
      <c r="K36" s="2">
        <v>1996</v>
      </c>
      <c r="L36" s="5" t="s">
        <v>256</v>
      </c>
      <c r="M36" s="5" t="s">
        <v>21</v>
      </c>
      <c r="N36" s="3" t="s">
        <v>20</v>
      </c>
      <c r="P36" s="6" t="str">
        <f>COMMASEPCOUNT(Articles[[#This Row],[Cited in]])</f>
        <v/>
      </c>
      <c r="Q36" s="8" t="s">
        <v>83</v>
      </c>
    </row>
    <row r="37" spans="1:17" ht="30">
      <c r="A37" s="2">
        <v>45</v>
      </c>
      <c r="B37" s="2"/>
      <c r="C37" s="5"/>
      <c r="D37" s="5" t="s">
        <v>171</v>
      </c>
      <c r="E37" s="5" t="s">
        <v>85</v>
      </c>
      <c r="F37" s="5"/>
      <c r="G37" s="5"/>
      <c r="H37" s="5"/>
      <c r="I37" s="5"/>
      <c r="J37" s="5"/>
      <c r="K37" s="2">
        <v>1999</v>
      </c>
      <c r="L37" s="5" t="s">
        <v>223</v>
      </c>
      <c r="M37" s="5" t="s">
        <v>222</v>
      </c>
      <c r="N37" s="1" t="s">
        <v>221</v>
      </c>
      <c r="O37" s="2"/>
      <c r="P37" s="7" t="str">
        <f>COMMASEPCOUNT(Articles[[#This Row],[Cited in]])</f>
        <v/>
      </c>
      <c r="Q37" s="8"/>
    </row>
    <row r="38" spans="1:17" ht="75">
      <c r="A38" s="2">
        <v>39</v>
      </c>
      <c r="B38" s="2"/>
      <c r="C38" s="5" t="s">
        <v>119</v>
      </c>
      <c r="D38" s="5" t="s">
        <v>122</v>
      </c>
      <c r="E38" s="5" t="s">
        <v>91</v>
      </c>
      <c r="F38" s="5">
        <v>1</v>
      </c>
      <c r="G38" s="5" t="s">
        <v>123</v>
      </c>
      <c r="H38" s="5" t="s">
        <v>99</v>
      </c>
      <c r="I38" s="5" t="s">
        <v>204</v>
      </c>
      <c r="J38" s="5" t="s">
        <v>124</v>
      </c>
      <c r="K38" s="2">
        <v>2006</v>
      </c>
      <c r="L38" s="5" t="s">
        <v>152</v>
      </c>
      <c r="M38" s="5" t="s">
        <v>120</v>
      </c>
      <c r="N38" s="3" t="s">
        <v>121</v>
      </c>
      <c r="O38" s="2"/>
      <c r="P38" s="7" t="str">
        <f>COMMASEPCOUNT(Articles[[#This Row],[Cited in]])</f>
        <v/>
      </c>
      <c r="Q38" s="8" t="s">
        <v>299</v>
      </c>
    </row>
    <row r="39" spans="1:17" ht="45">
      <c r="A39" s="2">
        <v>6</v>
      </c>
      <c r="B39" s="2"/>
      <c r="C39" s="5" t="s">
        <v>15</v>
      </c>
      <c r="D39" s="5"/>
      <c r="E39" s="5"/>
      <c r="F39" s="5"/>
      <c r="G39" s="5"/>
      <c r="H39" s="5"/>
      <c r="I39" s="5"/>
      <c r="J39" s="5"/>
      <c r="K39" s="2">
        <v>2004</v>
      </c>
      <c r="L39" s="5" t="s">
        <v>254</v>
      </c>
      <c r="M39" s="5" t="s">
        <v>25</v>
      </c>
      <c r="N39" s="3" t="s">
        <v>16</v>
      </c>
      <c r="P39" s="6" t="str">
        <f>COMMASEPCOUNT(Articles[[#This Row],[Cited in]])</f>
        <v/>
      </c>
      <c r="Q39" s="8" t="s">
        <v>225</v>
      </c>
    </row>
    <row r="40" spans="1:17" ht="30">
      <c r="A40" s="2">
        <v>18</v>
      </c>
      <c r="B40" s="2"/>
      <c r="C40" s="5" t="s">
        <v>9</v>
      </c>
      <c r="D40" s="5"/>
      <c r="E40" s="5"/>
      <c r="F40" s="5"/>
      <c r="G40" s="5"/>
      <c r="H40" s="5"/>
      <c r="I40" s="5"/>
      <c r="J40" s="5"/>
      <c r="K40" s="2">
        <v>2001</v>
      </c>
      <c r="L40" s="5" t="s">
        <v>262</v>
      </c>
      <c r="M40" s="5" t="s">
        <v>44</v>
      </c>
      <c r="N40" s="3" t="s">
        <v>43</v>
      </c>
      <c r="P40" s="6" t="str">
        <f>COMMASEPCOUNT(Articles[[#This Row],[Cited in]])</f>
        <v/>
      </c>
      <c r="Q40" s="8"/>
    </row>
    <row r="41" spans="1:17" ht="30">
      <c r="A41" s="2">
        <v>19</v>
      </c>
      <c r="B41" s="2"/>
      <c r="C41" s="5" t="s">
        <v>9</v>
      </c>
      <c r="D41" s="5"/>
      <c r="E41" s="5"/>
      <c r="F41" s="5"/>
      <c r="G41" s="5"/>
      <c r="H41" s="5"/>
      <c r="I41" s="5"/>
      <c r="J41" s="5"/>
      <c r="K41" s="2">
        <v>2001</v>
      </c>
      <c r="L41" s="5" t="s">
        <v>262</v>
      </c>
      <c r="M41" s="5" t="s">
        <v>45</v>
      </c>
      <c r="N41" s="3" t="s">
        <v>46</v>
      </c>
      <c r="P41" s="6" t="str">
        <f>COMMASEPCOUNT(Articles[[#This Row],[Cited in]])</f>
        <v/>
      </c>
      <c r="Q41" s="8"/>
    </row>
    <row r="42" spans="1:17" ht="45">
      <c r="A42" s="2">
        <v>17</v>
      </c>
      <c r="B42" s="2"/>
      <c r="C42" s="5" t="s">
        <v>9</v>
      </c>
      <c r="D42" s="5"/>
      <c r="E42" s="5"/>
      <c r="F42" s="5"/>
      <c r="G42" s="5"/>
      <c r="H42" s="5"/>
      <c r="I42" s="5"/>
      <c r="J42" s="5"/>
      <c r="K42" s="2">
        <v>2004</v>
      </c>
      <c r="L42" s="5" t="s">
        <v>262</v>
      </c>
      <c r="M42" s="5" t="s">
        <v>42</v>
      </c>
      <c r="N42" s="3" t="s">
        <v>41</v>
      </c>
      <c r="P42" s="6" t="str">
        <f>COMMASEPCOUNT(Articles[[#This Row],[Cited in]])</f>
        <v/>
      </c>
      <c r="Q42" s="8"/>
    </row>
    <row r="43" spans="1:17" ht="90">
      <c r="A43" s="2">
        <v>10</v>
      </c>
      <c r="B43" s="2"/>
      <c r="C43" s="5" t="s">
        <v>104</v>
      </c>
      <c r="D43" s="5" t="s">
        <v>106</v>
      </c>
      <c r="E43" s="5" t="s">
        <v>91</v>
      </c>
      <c r="F43" s="5">
        <v>1</v>
      </c>
      <c r="G43" s="5" t="s">
        <v>109</v>
      </c>
      <c r="H43" s="5" t="s">
        <v>240</v>
      </c>
      <c r="I43" s="5" t="s">
        <v>92</v>
      </c>
      <c r="J43" s="5" t="s">
        <v>108</v>
      </c>
      <c r="K43" s="2">
        <v>1986</v>
      </c>
      <c r="L43" s="5" t="s">
        <v>258</v>
      </c>
      <c r="M43" s="5" t="s">
        <v>253</v>
      </c>
      <c r="N43" s="3" t="s">
        <v>24</v>
      </c>
      <c r="O43">
        <v>41</v>
      </c>
      <c r="P43" s="6">
        <f>COMMASEPCOUNT(Articles[[#This Row],[Cited in]])</f>
        <v>1</v>
      </c>
      <c r="Q43" s="8" t="s">
        <v>107</v>
      </c>
    </row>
    <row r="44" spans="1:17" ht="90">
      <c r="A44" s="2">
        <v>13</v>
      </c>
      <c r="B44" s="2"/>
      <c r="C44" s="5" t="s">
        <v>5</v>
      </c>
      <c r="D44" s="5"/>
      <c r="E44" s="5" t="s">
        <v>91</v>
      </c>
      <c r="F44" s="5">
        <v>16</v>
      </c>
      <c r="G44" s="5" t="s">
        <v>130</v>
      </c>
      <c r="H44" s="5"/>
      <c r="I44" s="5" t="s">
        <v>131</v>
      </c>
      <c r="J44" s="5" t="s">
        <v>102</v>
      </c>
      <c r="K44" s="2">
        <v>2004</v>
      </c>
      <c r="L44" s="5" t="s">
        <v>267</v>
      </c>
      <c r="M44" s="5" t="s">
        <v>31</v>
      </c>
      <c r="N44" s="3" t="s">
        <v>30</v>
      </c>
      <c r="P44" s="6" t="str">
        <f>COMMASEPCOUNT(Articles[[#This Row],[Cited in]])</f>
        <v/>
      </c>
      <c r="Q44" s="8" t="s">
        <v>135</v>
      </c>
    </row>
    <row r="45" spans="1:17" ht="45">
      <c r="A45" s="2">
        <v>11</v>
      </c>
      <c r="B45" s="2"/>
      <c r="C45" s="5" t="s">
        <v>15</v>
      </c>
      <c r="D45" s="5" t="s">
        <v>103</v>
      </c>
      <c r="E45" s="5" t="s">
        <v>85</v>
      </c>
      <c r="F45" s="5">
        <v>16</v>
      </c>
      <c r="G45" s="5" t="s">
        <v>101</v>
      </c>
      <c r="H45" s="5"/>
      <c r="I45" s="5"/>
      <c r="J45" s="5" t="s">
        <v>102</v>
      </c>
      <c r="K45" s="2">
        <v>2006</v>
      </c>
      <c r="L45" s="5" t="s">
        <v>259</v>
      </c>
      <c r="M45" s="5" t="s">
        <v>27</v>
      </c>
      <c r="N45" s="3" t="s">
        <v>26</v>
      </c>
      <c r="P45" s="6" t="str">
        <f>COMMASEPCOUNT(Articles[[#This Row],[Cited in]])</f>
        <v/>
      </c>
      <c r="Q45" s="8"/>
    </row>
    <row r="46" spans="1:17" ht="60">
      <c r="A46">
        <v>3</v>
      </c>
      <c r="C46" s="5" t="s">
        <v>9</v>
      </c>
      <c r="D46" s="5"/>
      <c r="E46" s="5"/>
      <c r="F46" s="5"/>
      <c r="G46" s="5"/>
      <c r="H46" s="5"/>
      <c r="I46" s="5"/>
      <c r="J46" s="5"/>
      <c r="K46" s="2">
        <v>2007</v>
      </c>
      <c r="L46" s="5"/>
      <c r="M46" s="5" t="s">
        <v>10</v>
      </c>
      <c r="N46" s="3" t="s">
        <v>82</v>
      </c>
      <c r="P46" s="6" t="str">
        <f>COMMASEPCOUNT(Articles[[#This Row],[Cited in]])</f>
        <v/>
      </c>
      <c r="Q46" s="8"/>
    </row>
    <row r="47" spans="1:17" ht="90">
      <c r="A47" s="2">
        <v>5</v>
      </c>
      <c r="B47" s="2"/>
      <c r="C47" s="5" t="s">
        <v>15</v>
      </c>
      <c r="D47" s="5" t="s">
        <v>211</v>
      </c>
      <c r="E47" s="5" t="s">
        <v>91</v>
      </c>
      <c r="F47" s="5">
        <v>2</v>
      </c>
      <c r="G47" s="5" t="s">
        <v>140</v>
      </c>
      <c r="H47" s="5" t="s">
        <v>99</v>
      </c>
      <c r="I47" s="5" t="s">
        <v>213</v>
      </c>
      <c r="J47" s="5" t="s">
        <v>124</v>
      </c>
      <c r="K47" s="2">
        <v>2004</v>
      </c>
      <c r="L47" s="5" t="s">
        <v>224</v>
      </c>
      <c r="M47" s="5" t="s">
        <v>14</v>
      </c>
      <c r="N47" s="3" t="s">
        <v>13</v>
      </c>
      <c r="P47" s="6" t="str">
        <f>COMMASEPCOUNT(Articles[[#This Row],[Cited in]])</f>
        <v/>
      </c>
      <c r="Q47" s="8" t="s">
        <v>215</v>
      </c>
    </row>
    <row r="48" spans="1:17" ht="165">
      <c r="A48" s="2">
        <v>14</v>
      </c>
      <c r="B48" s="2"/>
      <c r="C48" s="5" t="s">
        <v>34</v>
      </c>
      <c r="D48" s="5" t="s">
        <v>138</v>
      </c>
      <c r="E48" s="5" t="s">
        <v>137</v>
      </c>
      <c r="F48" s="5" t="s">
        <v>133</v>
      </c>
      <c r="G48" s="5" t="s">
        <v>134</v>
      </c>
      <c r="H48" s="5"/>
      <c r="I48" s="5" t="s">
        <v>92</v>
      </c>
      <c r="J48" s="5" t="s">
        <v>132</v>
      </c>
      <c r="K48" s="2">
        <v>2004</v>
      </c>
      <c r="L48" s="5" t="s">
        <v>260</v>
      </c>
      <c r="M48" s="5" t="s">
        <v>33</v>
      </c>
      <c r="N48" s="3" t="s">
        <v>32</v>
      </c>
      <c r="P48" s="6" t="str">
        <f>COMMASEPCOUNT(Articles[[#This Row],[Cited in]])</f>
        <v/>
      </c>
      <c r="Q48" s="8" t="s">
        <v>136</v>
      </c>
    </row>
    <row r="49" spans="1:17" ht="135">
      <c r="A49">
        <v>20</v>
      </c>
      <c r="C49" s="4" t="s">
        <v>118</v>
      </c>
      <c r="D49" s="4"/>
      <c r="E49" s="4" t="s">
        <v>91</v>
      </c>
      <c r="F49" s="4">
        <v>2</v>
      </c>
      <c r="G49" s="4" t="s">
        <v>141</v>
      </c>
      <c r="H49" s="4" t="s">
        <v>142</v>
      </c>
      <c r="I49" s="4" t="s">
        <v>131</v>
      </c>
      <c r="J49" s="4" t="s">
        <v>124</v>
      </c>
      <c r="K49">
        <v>2007</v>
      </c>
      <c r="L49" s="4" t="s">
        <v>149</v>
      </c>
      <c r="M49" s="4" t="s">
        <v>48</v>
      </c>
      <c r="N49" s="1" t="s">
        <v>47</v>
      </c>
      <c r="P49" s="6" t="str">
        <f>COMMASEPCOUNT(Articles[[#This Row],[Cited in]])</f>
        <v/>
      </c>
      <c r="Q49" s="8" t="s">
        <v>143</v>
      </c>
    </row>
    <row r="50" spans="1:17">
      <c r="A50" t="s">
        <v>39</v>
      </c>
      <c r="C50" s="4"/>
      <c r="D50" s="4"/>
      <c r="E50" s="4"/>
      <c r="F50" s="4"/>
      <c r="G50" s="4"/>
      <c r="H50" s="4"/>
      <c r="I50" s="4"/>
      <c r="J50" s="4"/>
      <c r="M50" s="4"/>
      <c r="N50" s="4">
        <f>SUBTOTAL(103,[Title])</f>
        <v>20</v>
      </c>
      <c r="O50" s="4"/>
      <c r="Q50" s="4"/>
    </row>
    <row r="51" spans="1:17">
      <c r="C51" s="4"/>
      <c r="D51" s="4"/>
      <c r="E51" s="4"/>
      <c r="F51" s="4"/>
      <c r="G51" s="4"/>
      <c r="H51" s="4"/>
      <c r="I51" s="4"/>
      <c r="J51" s="4"/>
      <c r="M51" s="4"/>
      <c r="N51" s="1"/>
      <c r="P51" s="6"/>
      <c r="Q51" s="8"/>
    </row>
    <row r="52" spans="1:17">
      <c r="A52" s="2"/>
      <c r="B52" s="2"/>
      <c r="C52" s="5"/>
      <c r="D52" s="5"/>
      <c r="E52" s="5"/>
      <c r="F52" s="5"/>
      <c r="G52" s="5"/>
      <c r="H52" s="5"/>
      <c r="I52" s="5"/>
      <c r="J52" s="5"/>
      <c r="K52" s="2"/>
      <c r="L52" s="2"/>
      <c r="M52" s="5"/>
      <c r="N52" s="3"/>
      <c r="O52" s="2"/>
      <c r="P52" s="7"/>
      <c r="Q52" s="9"/>
    </row>
  </sheetData>
  <pageMargins left="0.23622047244094491" right="0.23622047244094491" top="0.74803149606299213" bottom="0.74803149606299213" header="0.31496062992125984" footer="0.31496062992125984"/>
  <pageSetup paperSize="9" scale="40" orientation="landscape"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Ark2"/>
  <dimension ref="A3:R17"/>
  <sheetViews>
    <sheetView workbookViewId="0">
      <selection activeCell="O21" sqref="O21"/>
    </sheetView>
  </sheetViews>
  <sheetFormatPr defaultRowHeight="15"/>
  <cols>
    <col min="1" max="1" width="32.140625" customWidth="1"/>
    <col min="2" max="2" width="17.7109375" customWidth="1"/>
    <col min="3" max="17" width="5" customWidth="1"/>
    <col min="18" max="18" width="16" bestFit="1" customWidth="1"/>
    <col min="19" max="19" width="5" bestFit="1" customWidth="1"/>
    <col min="20" max="20" width="16" bestFit="1" customWidth="1"/>
  </cols>
  <sheetData>
    <row r="3" spans="1:18">
      <c r="A3" s="11" t="s">
        <v>160</v>
      </c>
      <c r="B3" s="11" t="s">
        <v>38</v>
      </c>
    </row>
    <row r="4" spans="1:18">
      <c r="A4" s="11" t="s">
        <v>1</v>
      </c>
      <c r="B4">
        <v>1975</v>
      </c>
      <c r="C4">
        <v>1977</v>
      </c>
      <c r="D4">
        <v>1986</v>
      </c>
      <c r="E4">
        <v>1991</v>
      </c>
      <c r="F4">
        <v>1992</v>
      </c>
      <c r="G4">
        <v>1995</v>
      </c>
      <c r="H4">
        <v>1996</v>
      </c>
      <c r="I4">
        <v>1999</v>
      </c>
      <c r="J4">
        <v>2000</v>
      </c>
      <c r="K4">
        <v>2001</v>
      </c>
      <c r="L4">
        <v>2002</v>
      </c>
      <c r="M4">
        <v>2003</v>
      </c>
      <c r="N4">
        <v>2004</v>
      </c>
      <c r="O4">
        <v>2005</v>
      </c>
      <c r="P4">
        <v>2006</v>
      </c>
      <c r="Q4">
        <v>2007</v>
      </c>
      <c r="R4" t="s">
        <v>40</v>
      </c>
    </row>
    <row r="5" spans="1:18">
      <c r="A5" s="12" t="s">
        <v>119</v>
      </c>
      <c r="B5" s="6"/>
      <c r="C5" s="6"/>
      <c r="D5" s="6"/>
      <c r="E5" s="6"/>
      <c r="F5" s="6"/>
      <c r="G5" s="6"/>
      <c r="H5" s="6"/>
      <c r="I5" s="6"/>
      <c r="J5" s="6"/>
      <c r="K5" s="6"/>
      <c r="L5" s="6"/>
      <c r="M5" s="6"/>
      <c r="N5" s="6"/>
      <c r="O5" s="6"/>
      <c r="P5" s="6">
        <v>1</v>
      </c>
      <c r="Q5" s="6"/>
      <c r="R5" s="6">
        <v>1</v>
      </c>
    </row>
    <row r="6" spans="1:18">
      <c r="A6" s="12" t="s">
        <v>19</v>
      </c>
      <c r="B6" s="6"/>
      <c r="C6" s="6"/>
      <c r="D6" s="6"/>
      <c r="E6" s="6"/>
      <c r="F6" s="6"/>
      <c r="G6" s="6"/>
      <c r="H6" s="6">
        <v>1</v>
      </c>
      <c r="I6" s="6"/>
      <c r="J6" s="6"/>
      <c r="K6" s="6"/>
      <c r="L6" s="6"/>
      <c r="M6" s="6"/>
      <c r="N6" s="6"/>
      <c r="O6" s="6">
        <v>1</v>
      </c>
      <c r="P6" s="6"/>
      <c r="Q6" s="6"/>
      <c r="R6" s="6">
        <v>2</v>
      </c>
    </row>
    <row r="7" spans="1:18">
      <c r="A7" s="12" t="s">
        <v>5</v>
      </c>
      <c r="B7" s="6"/>
      <c r="C7" s="6"/>
      <c r="D7" s="6"/>
      <c r="E7" s="6"/>
      <c r="F7" s="6">
        <v>1</v>
      </c>
      <c r="G7" s="6"/>
      <c r="H7" s="6"/>
      <c r="I7" s="6"/>
      <c r="J7" s="6">
        <v>1</v>
      </c>
      <c r="K7" s="6"/>
      <c r="L7" s="6">
        <v>1</v>
      </c>
      <c r="M7" s="6">
        <v>2</v>
      </c>
      <c r="N7" s="6">
        <v>4</v>
      </c>
      <c r="O7" s="6"/>
      <c r="P7" s="6">
        <v>1</v>
      </c>
      <c r="Q7" s="6">
        <v>1</v>
      </c>
      <c r="R7" s="6">
        <v>11</v>
      </c>
    </row>
    <row r="8" spans="1:18">
      <c r="A8" s="12" t="s">
        <v>15</v>
      </c>
      <c r="B8" s="6">
        <v>2</v>
      </c>
      <c r="C8" s="6"/>
      <c r="D8" s="6"/>
      <c r="E8" s="6">
        <v>1</v>
      </c>
      <c r="F8" s="6"/>
      <c r="G8" s="6">
        <v>1</v>
      </c>
      <c r="H8" s="6"/>
      <c r="I8" s="6"/>
      <c r="J8" s="6"/>
      <c r="K8" s="6"/>
      <c r="L8" s="6">
        <v>1</v>
      </c>
      <c r="M8" s="6"/>
      <c r="N8" s="6">
        <v>2</v>
      </c>
      <c r="O8" s="6"/>
      <c r="P8" s="6">
        <v>1</v>
      </c>
      <c r="Q8" s="6"/>
      <c r="R8" s="6">
        <v>8</v>
      </c>
    </row>
    <row r="9" spans="1:18">
      <c r="A9" s="12" t="s">
        <v>68</v>
      </c>
      <c r="B9" s="6"/>
      <c r="C9" s="6">
        <v>1</v>
      </c>
      <c r="D9" s="6"/>
      <c r="E9" s="6"/>
      <c r="F9" s="6"/>
      <c r="G9" s="6"/>
      <c r="H9" s="6"/>
      <c r="I9" s="6"/>
      <c r="J9" s="6"/>
      <c r="K9" s="6"/>
      <c r="L9" s="6"/>
      <c r="M9" s="6"/>
      <c r="N9" s="6"/>
      <c r="O9" s="6"/>
      <c r="P9" s="6"/>
      <c r="Q9" s="6"/>
      <c r="R9" s="6">
        <v>1</v>
      </c>
    </row>
    <row r="10" spans="1:18">
      <c r="A10" s="12" t="s">
        <v>37</v>
      </c>
      <c r="B10" s="6"/>
      <c r="C10" s="6"/>
      <c r="D10" s="6"/>
      <c r="E10" s="6"/>
      <c r="F10" s="6"/>
      <c r="G10" s="6"/>
      <c r="H10" s="6"/>
      <c r="I10" s="6"/>
      <c r="J10" s="6"/>
      <c r="K10" s="6">
        <v>1</v>
      </c>
      <c r="L10" s="6"/>
      <c r="M10" s="6"/>
      <c r="N10" s="6"/>
      <c r="O10" s="6"/>
      <c r="P10" s="6"/>
      <c r="Q10" s="6"/>
      <c r="R10" s="6">
        <v>1</v>
      </c>
    </row>
    <row r="11" spans="1:18">
      <c r="A11" s="12" t="s">
        <v>118</v>
      </c>
      <c r="B11" s="6"/>
      <c r="C11" s="6"/>
      <c r="D11" s="6"/>
      <c r="E11" s="6"/>
      <c r="F11" s="6"/>
      <c r="G11" s="6"/>
      <c r="H11" s="6"/>
      <c r="I11" s="6">
        <v>1</v>
      </c>
      <c r="J11" s="6"/>
      <c r="K11" s="6"/>
      <c r="L11" s="6"/>
      <c r="M11" s="6"/>
      <c r="N11" s="6">
        <v>1</v>
      </c>
      <c r="O11" s="6"/>
      <c r="P11" s="6"/>
      <c r="Q11" s="6">
        <v>4</v>
      </c>
      <c r="R11" s="6">
        <v>6</v>
      </c>
    </row>
    <row r="12" spans="1:18">
      <c r="A12" s="12" t="s">
        <v>34</v>
      </c>
      <c r="B12" s="6"/>
      <c r="C12" s="6"/>
      <c r="D12" s="6"/>
      <c r="E12" s="6"/>
      <c r="F12" s="6"/>
      <c r="G12" s="6"/>
      <c r="H12" s="6"/>
      <c r="I12" s="6"/>
      <c r="J12" s="6"/>
      <c r="K12" s="6"/>
      <c r="L12" s="6"/>
      <c r="M12" s="6"/>
      <c r="N12" s="6">
        <v>1</v>
      </c>
      <c r="O12" s="6"/>
      <c r="P12" s="6"/>
      <c r="Q12" s="6"/>
      <c r="R12" s="6">
        <v>1</v>
      </c>
    </row>
    <row r="13" spans="1:18">
      <c r="A13" s="12" t="s">
        <v>55</v>
      </c>
      <c r="B13" s="6"/>
      <c r="C13" s="6"/>
      <c r="D13" s="6"/>
      <c r="E13" s="6"/>
      <c r="F13" s="6"/>
      <c r="G13" s="6"/>
      <c r="H13" s="6"/>
      <c r="I13" s="6"/>
      <c r="J13" s="6">
        <v>1</v>
      </c>
      <c r="K13" s="6"/>
      <c r="L13" s="6"/>
      <c r="M13" s="6"/>
      <c r="N13" s="6"/>
      <c r="O13" s="6"/>
      <c r="P13" s="6">
        <v>1</v>
      </c>
      <c r="Q13" s="6"/>
      <c r="R13" s="6">
        <v>2</v>
      </c>
    </row>
    <row r="14" spans="1:18">
      <c r="A14" s="12" t="s">
        <v>104</v>
      </c>
      <c r="B14" s="6"/>
      <c r="C14" s="6"/>
      <c r="D14" s="6">
        <v>1</v>
      </c>
      <c r="E14" s="6"/>
      <c r="F14" s="6"/>
      <c r="G14" s="6"/>
      <c r="H14" s="6"/>
      <c r="I14" s="6"/>
      <c r="J14" s="6"/>
      <c r="K14" s="6"/>
      <c r="L14" s="6"/>
      <c r="M14" s="6"/>
      <c r="N14" s="6"/>
      <c r="O14" s="6"/>
      <c r="P14" s="6"/>
      <c r="Q14" s="6"/>
      <c r="R14" s="6">
        <v>1</v>
      </c>
    </row>
    <row r="15" spans="1:18">
      <c r="A15" s="12" t="s">
        <v>93</v>
      </c>
      <c r="B15" s="6"/>
      <c r="C15" s="6"/>
      <c r="D15" s="6"/>
      <c r="E15" s="6"/>
      <c r="F15" s="6"/>
      <c r="G15" s="6"/>
      <c r="H15" s="6"/>
      <c r="I15" s="6"/>
      <c r="J15" s="6"/>
      <c r="K15" s="6"/>
      <c r="L15" s="6"/>
      <c r="M15" s="6"/>
      <c r="N15" s="6"/>
      <c r="O15" s="6"/>
      <c r="P15" s="6">
        <v>1</v>
      </c>
      <c r="Q15" s="6"/>
      <c r="R15" s="6">
        <v>1</v>
      </c>
    </row>
    <row r="16" spans="1:18">
      <c r="A16" s="12" t="s">
        <v>194</v>
      </c>
      <c r="B16" s="6"/>
      <c r="C16" s="6"/>
      <c r="D16" s="6"/>
      <c r="E16" s="6"/>
      <c r="F16" s="6"/>
      <c r="G16" s="6"/>
      <c r="H16" s="6"/>
      <c r="I16" s="6"/>
      <c r="J16" s="6"/>
      <c r="K16" s="6"/>
      <c r="L16" s="6"/>
      <c r="M16" s="6"/>
      <c r="N16" s="6"/>
      <c r="O16" s="6"/>
      <c r="P16" s="6">
        <v>1</v>
      </c>
      <c r="Q16" s="6"/>
      <c r="R16" s="6">
        <v>1</v>
      </c>
    </row>
    <row r="17" spans="1:18">
      <c r="A17" s="12" t="s">
        <v>40</v>
      </c>
      <c r="B17" s="6">
        <v>2</v>
      </c>
      <c r="C17" s="6">
        <v>1</v>
      </c>
      <c r="D17" s="6">
        <v>1</v>
      </c>
      <c r="E17" s="6">
        <v>1</v>
      </c>
      <c r="F17" s="6">
        <v>1</v>
      </c>
      <c r="G17" s="6">
        <v>1</v>
      </c>
      <c r="H17" s="6">
        <v>1</v>
      </c>
      <c r="I17" s="6">
        <v>1</v>
      </c>
      <c r="J17" s="6">
        <v>2</v>
      </c>
      <c r="K17" s="6">
        <v>1</v>
      </c>
      <c r="L17" s="6">
        <v>2</v>
      </c>
      <c r="M17" s="6">
        <v>2</v>
      </c>
      <c r="N17" s="6">
        <v>8</v>
      </c>
      <c r="O17" s="6">
        <v>1</v>
      </c>
      <c r="P17" s="6">
        <v>6</v>
      </c>
      <c r="Q17" s="6">
        <v>5</v>
      </c>
      <c r="R17" s="6">
        <v>36</v>
      </c>
    </row>
  </sheetData>
  <pageMargins left="0.7" right="0.7" top="0.75" bottom="0.75" header="0.3" footer="0.3"/>
  <pageSetup scale="75" orientation="landscape"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vt:i4>
      </vt:variant>
      <vt:variant>
        <vt:lpstr>Navngivne områder</vt:lpstr>
      </vt:variant>
      <vt:variant>
        <vt:i4>2</vt:i4>
      </vt:variant>
    </vt:vector>
  </HeadingPairs>
  <TitlesOfParts>
    <vt:vector size="4" baseType="lpstr">
      <vt:lpstr>Article Listing</vt:lpstr>
      <vt:lpstr>Overview</vt:lpstr>
      <vt:lpstr>'Article Listing'!Udskriftsområde</vt:lpstr>
      <vt:lpstr>'Article Listing'!Udskriftstitler</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Stationary</cp:lastModifiedBy>
  <cp:lastPrinted>2007-10-23T06:59:42Z</cp:lastPrinted>
  <dcterms:created xsi:type="dcterms:W3CDTF">2006-09-25T13:34:53Z</dcterms:created>
  <dcterms:modified xsi:type="dcterms:W3CDTF">2007-12-04T14:38:57Z</dcterms:modified>
</cp:coreProperties>
</file>