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0" windowWidth="14895" windowHeight="7875"/>
  </bookViews>
  <sheets>
    <sheet name="Article Listing" sheetId="1" r:id="rId1"/>
    <sheet name="Overview" sheetId="2" r:id="rId2"/>
  </sheets>
  <functionGroups/>
  <calcPr calcId="124519"/>
  <pivotCaches>
    <pivotCache cacheId="0" r:id="rId3"/>
  </pivotCaches>
</workbook>
</file>

<file path=xl/calcChain.xml><?xml version="1.0" encoding="utf-8"?>
<calcChain xmlns="http://schemas.openxmlformats.org/spreadsheetml/2006/main">
  <c r="M44" i="1"/>
  <c r="O3"/>
  <c r="O8"/>
  <c r="O28"/>
  <c r="O18"/>
  <c r="O27"/>
  <c r="O16"/>
  <c r="O5"/>
  <c r="O37"/>
  <c r="O14"/>
  <c r="O22"/>
  <c r="O33"/>
  <c r="O7"/>
  <c r="O43"/>
  <c r="O17"/>
  <c r="O4"/>
  <c r="O31"/>
  <c r="O30"/>
  <c r="O41"/>
  <c r="O19"/>
  <c r="O39"/>
  <c r="O36"/>
  <c r="O21"/>
  <c r="O10"/>
  <c r="O15"/>
  <c r="O20"/>
  <c r="O40"/>
  <c r="O26"/>
  <c r="O38"/>
  <c r="O32"/>
  <c r="O23"/>
  <c r="O29"/>
  <c r="O42"/>
  <c r="O13"/>
  <c r="O12"/>
  <c r="O9"/>
  <c r="O11"/>
  <c r="O6"/>
  <c r="O2"/>
  <c r="O35"/>
  <c r="O34"/>
</calcChain>
</file>

<file path=xl/comments1.xml><?xml version="1.0" encoding="utf-8"?>
<comments xmlns="http://schemas.openxmlformats.org/spreadsheetml/2006/main">
  <authors>
    <author>Andreas Warberg</author>
  </authors>
  <commentList>
    <comment ref="D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The type of optimization employed. Can be historically based, actuated or adaptive (sensors)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The size of the tested network in number of traffic lights (nodes).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Are the signals operating on a fixed (common) cycle time or can they be adjusted independently.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Optimization measure of effectiveness</t>
        </r>
      </text>
    </comment>
  </commentList>
</comments>
</file>

<file path=xl/sharedStrings.xml><?xml version="1.0" encoding="utf-8"?>
<sst xmlns="http://schemas.openxmlformats.org/spreadsheetml/2006/main" count="255" uniqueCount="190">
  <si>
    <t>Year</t>
  </si>
  <si>
    <t>Method</t>
  </si>
  <si>
    <t>Authors</t>
  </si>
  <si>
    <t>Title</t>
  </si>
  <si>
    <t>Development of a Phase-by-Phase, Arrival-Based, Delay-Optimized Adaptive Traffic Signal Control Methodology with Metaheuristic Search</t>
  </si>
  <si>
    <t>Genetic Algorithm</t>
  </si>
  <si>
    <t xml:space="preserve">Michael Shenoda, Randy Machemehl </t>
  </si>
  <si>
    <t>A Genetic Algorithm Approach for Optimizing Traffic Control Signals Considering Routing</t>
  </si>
  <si>
    <t>Fitsum Teklu, Agachai Sumalee, David Watling</t>
  </si>
  <si>
    <t>(Informational)</t>
  </si>
  <si>
    <t>US Dep. Of Transportation, Intelligent Transportation Systems</t>
  </si>
  <si>
    <t>Assessment of a Stochastic Signal Optimization Method Using Microsimulation</t>
  </si>
  <si>
    <t>Byungkyu “Brian” Park, Nagui M. Rouphail, Jerome Sacks</t>
  </si>
  <si>
    <t>An Enhanced 0–1 Mixed-Integer LP Formulation for Traffic Signal Control</t>
  </si>
  <si>
    <t>Wei-Hua Lin, Chenghong Wang</t>
  </si>
  <si>
    <t>Integer Programming</t>
  </si>
  <si>
    <t>Progression Optimization Featuring
Arterial- and Route-Based Priority
Signal Networks</t>
  </si>
  <si>
    <t>Genetic Algorithm Approach for Adaptive Offset Optimization for the Fluctuation of Traffic Flow</t>
  </si>
  <si>
    <t>Sei Takahashi, Hideo Nakamura, Hiroshi Kazama, Tomokazu Fujikura</t>
  </si>
  <si>
    <t>Dynamic Programming</t>
  </si>
  <si>
    <t>A Decentralized Scheme for Real-Time Optimization of Traffic Signals</t>
  </si>
  <si>
    <t xml:space="preserve">I. Porche, M. Sampath, R. Sengupta,  Y.-L. Chen,  S.  Lafortune </t>
  </si>
  <si>
    <t>A multi-band approach to arterial traffic signal optimization</t>
  </si>
  <si>
    <t>Gartner, N.H.;  Assmann, S.F.;  Lasaga, F.;  Hou, D.L.</t>
  </si>
  <si>
    <t>Traffic signal timing at isolated intersections using simulation optimization</t>
  </si>
  <si>
    <t>Nathan H. Gartner, Chronis Stamatiadis</t>
  </si>
  <si>
    <t>Large-Scale Traffic Network Control Based on Convex Programming Coupled with B&amp;B Strategy</t>
  </si>
  <si>
    <t>Tatsuya Kato, YoungWoo Kim, Shigeru Okuma and Tatsuo Narikiyo</t>
  </si>
  <si>
    <t>Tsin Hing Heung;  Tin Kin Ho;  Yu Fai Fung</t>
  </si>
  <si>
    <t>Coordinated road-junction traffic control by dynamic programming</t>
  </si>
  <si>
    <t>Genetic algorithms and cellular automata: a new architecture for traffic light cycles optimization</t>
  </si>
  <si>
    <t>Sanchez, J.J.;  Galan, M.;  Rubio, E.</t>
  </si>
  <si>
    <t>Simulation and optimization of traffic in a city</t>
  </si>
  <si>
    <t>Wiering, M.;  Vreeken, J.;  van Veenen, J.;  Koopman, A.</t>
  </si>
  <si>
    <t>Reinforcement learning</t>
  </si>
  <si>
    <t>The optimization of traffic signal light using artificial intelligence</t>
  </si>
  <si>
    <t>GiYoung Lim;  JeongJin Kang;  YouSik Hong</t>
  </si>
  <si>
    <t>Neural networks, fuzzy logic</t>
  </si>
  <si>
    <t>Scheduling of traffic lights -- New approach</t>
  </si>
  <si>
    <t>Stoffers, K.E.</t>
  </si>
  <si>
    <t>Publication year</t>
  </si>
  <si>
    <t>Total</t>
  </si>
  <si>
    <t>Total for method</t>
  </si>
  <si>
    <t>Signalregulering på Centrumforbindelsen med UTOPIA/SPOT</t>
  </si>
  <si>
    <t>Peter Bäcker Hansen, Lars Bo Frederiksen, Peter Christensen</t>
  </si>
  <si>
    <t>MOTION</t>
  </si>
  <si>
    <t>Nicoline Varberg, Dorrit Jakobsen</t>
  </si>
  <si>
    <t>Niels Chr. Johannesen</t>
  </si>
  <si>
    <t>Adaptive styresystemer sikrer optimalt investering</t>
  </si>
  <si>
    <t>Saka, A.A.;  Anandalingam, G.;  Garger, N.J.</t>
  </si>
  <si>
    <t>An algorithm for local continuous optimization of traffic signals</t>
  </si>
  <si>
    <t>Ying, J.Q.;  Lu, H.;  Shi, J.</t>
  </si>
  <si>
    <t>Offline offset refiner for coordinated actuated signal control systems</t>
  </si>
  <si>
    <t>Yin, Yafeng;  Li, Meng;  Skabardonis, Alexander</t>
  </si>
  <si>
    <t>Comparative tests of solution methods for signal-controlled road networks</t>
  </si>
  <si>
    <t>Chiou, S.W.</t>
  </si>
  <si>
    <t>A platoon-based traffic signal timing algorithm for major-minor intersection types</t>
  </si>
  <si>
    <t>Jiang, Y.;  Li, S.;  Shamo, D.E.</t>
  </si>
  <si>
    <t>Simulation</t>
  </si>
  <si>
    <t>Developing combined genetic algorithm - Hill-climbing optimization method for area traffic control</t>
  </si>
  <si>
    <t>Ceylan, Halim</t>
  </si>
  <si>
    <t>Genetic algorithm solution for the stochastic equilibrium transportation networks under congestion</t>
  </si>
  <si>
    <t>Ceylan, Halim;  Bell, Michael G.H.</t>
  </si>
  <si>
    <t>Optimization of Traffic Signal Settings by Mixed-Integer Linear Programming Part I: The Network Coordination Problem.</t>
  </si>
  <si>
    <t>Gartner, Nathan H.; Little, John D. C.; Gabbay, Henry</t>
  </si>
  <si>
    <t>Probabilistic Approach to Implementing Traffic Signal Warrants</t>
  </si>
  <si>
    <t>Byungkyu "Brian" Park, Nagui M. Rouphail, and Joseph E. Hummer</t>
  </si>
  <si>
    <t>Importance</t>
  </si>
  <si>
    <t>Cited in</t>
  </si>
  <si>
    <t>Estimation of dynamic origin destination matrix: a genetic algorithm approach</t>
  </si>
  <si>
    <t xml:space="preserve"> Ilsoo Yun;  Byungkyu Park</t>
  </si>
  <si>
    <t>Integrated anticipatory control</t>
  </si>
  <si>
    <t>Taale, H.;  van Zuylen, H.J.</t>
  </si>
  <si>
    <t>Modelling</t>
  </si>
  <si>
    <t>On Stochastic Models of Traffic Assignment</t>
  </si>
  <si>
    <t>Daganzo, Carlos F., Sheffi, Yosef</t>
  </si>
  <si>
    <t>Ceylan, H.;  Bell, M.G.H.</t>
  </si>
  <si>
    <t>Traffic signal timing optimisation based on genetic algorithm approach, including drivers' routing</t>
  </si>
  <si>
    <t xml:space="preserve">Optimization of Area Traffic Control for Equilibrium Network Flows. </t>
  </si>
  <si>
    <t>Gradient</t>
  </si>
  <si>
    <t xml:space="preserve">Anil Kamarajugadda, Dr. Byungkyu "Brian" Park </t>
  </si>
  <si>
    <t xml:space="preserve">Stochastic Traffic Signal Timing Optimization </t>
  </si>
  <si>
    <t>Ramanathan, B.;  McNally, M.G.;  Jayakrishnan, R.</t>
  </si>
  <si>
    <t>Formulation of modern signal control operations as a non-linear mixed integer program</t>
  </si>
  <si>
    <t>Gartner, N.H.;  Stamatiadis, C.</t>
  </si>
  <si>
    <t>Arterial-based control of traffic flow in urban grid networks</t>
  </si>
  <si>
    <t>Comments</t>
  </si>
  <si>
    <t>Shows that adaptive methods are superior to purely history (statistics) based  methods.</t>
  </si>
  <si>
    <t>Simple, embedded, simulator. Vehicles follows a route from start to finish (no turning off).</t>
  </si>
  <si>
    <t>Heuristics for speeding up the solve process by putting focus on vehicle platoons.</t>
  </si>
  <si>
    <t>Traffic Signal Control - Deployment Benefits and lessons learned</t>
  </si>
  <si>
    <t>ALLONS-D, adaptive scheme, no fixed-cycle-length requirement. Each signal controller minimizes delay for approaches to intersection.</t>
  </si>
  <si>
    <t>Network size</t>
  </si>
  <si>
    <t>Adaptive</t>
  </si>
  <si>
    <t>Progression method (platooning). Model walkthrough (MAXBAND, PASSER II, TRANSYT)</t>
  </si>
  <si>
    <t>MOE</t>
  </si>
  <si>
    <t>MULTIBAND</t>
  </si>
  <si>
    <t>New Orleans</t>
  </si>
  <si>
    <t>Data set</t>
  </si>
  <si>
    <t>Historical</t>
  </si>
  <si>
    <t>Average delay</t>
  </si>
  <si>
    <t>Tabu Search</t>
  </si>
  <si>
    <t>Simulator</t>
  </si>
  <si>
    <t>NETSIM</t>
  </si>
  <si>
    <t>CORSIM</t>
  </si>
  <si>
    <t>Elaborate in discussing alternatives etc. Some programming in Excel. Includes source code. Review of research in adaptive signal control.</t>
  </si>
  <si>
    <t>Optimization method</t>
  </si>
  <si>
    <t>Methodology</t>
  </si>
  <si>
    <t>Phase based</t>
  </si>
  <si>
    <t>Common cycle</t>
  </si>
  <si>
    <t>Synchronization type</t>
  </si>
  <si>
    <t>Artificial grid</t>
  </si>
  <si>
    <t>Cellular Automaton</t>
  </si>
  <si>
    <t>HPN/MLDS</t>
  </si>
  <si>
    <t>Simulation, Dynamic Programming</t>
  </si>
  <si>
    <t>Demand forecast base</t>
  </si>
  <si>
    <t>Stochastic inventory model</t>
  </si>
  <si>
    <t>Problem cast into realm of queueing theory. Postulates that erlang distributed arrivals are the most realistic (platooning?).</t>
  </si>
  <si>
    <t>SIMAN</t>
  </si>
  <si>
    <t>Single signal with varying traffic volume</t>
  </si>
  <si>
    <t>Webster, F. V.</t>
  </si>
  <si>
    <t>Traffic Signal Setting</t>
  </si>
  <si>
    <t>Queuing Models for Analysis of Traffic Adaptive Signal Control</t>
  </si>
  <si>
    <t>Mirchandani, P. B.;  Zou, N.</t>
  </si>
  <si>
    <t>1; 10; 38</t>
  </si>
  <si>
    <t>Single intersection with different flows</t>
  </si>
  <si>
    <t>MATLAB</t>
  </si>
  <si>
    <t>Treats intersection as a server in a queue system</t>
  </si>
  <si>
    <t>Only single intersection considered. Mentions performance problems. Shows that simulation is more realistic than analytical forecast.</t>
  </si>
  <si>
    <t>Numerical search</t>
  </si>
  <si>
    <t>Agent network</t>
  </si>
  <si>
    <t>Lee, Dong-liang;  Deng, Lawrence Y.</t>
  </si>
  <si>
    <t>Self Awareness and Adaptive Traffic Signal Control System for Smart World</t>
  </si>
  <si>
    <t>Webster, frequent updates</t>
  </si>
  <si>
    <t>MinQuan W. Rd. and ChenDer Rd.</t>
  </si>
  <si>
    <t>(none)</t>
  </si>
  <si>
    <t>Fuzzy logic controller with GA learning</t>
  </si>
  <si>
    <t>Simple two-junction network</t>
  </si>
  <si>
    <t>(A simulator is used but the name is not given)</t>
  </si>
  <si>
    <t>Average delay and number of stops</t>
  </si>
  <si>
    <t>Puts focus on decentralized control. Points out that adaptive control systems such as SCOOT has been shown to outperform static optimization eg. Webster but not in an overwhelmingly manner.</t>
  </si>
  <si>
    <t>Artifical, but complex, network</t>
  </si>
  <si>
    <t>Average time in network</t>
  </si>
  <si>
    <t>Green Ligth District</t>
  </si>
  <si>
    <t>15 (urban), 14 (surrounding highway)</t>
  </si>
  <si>
    <t>Urban street network and ordinary streets with highways around</t>
  </si>
  <si>
    <t>Deterministic simulator (consider fixed seed instead). Chromosone evaluation parrallelized.</t>
  </si>
  <si>
    <t>Actually learning by punishment. A penalty is given when vehicles wait. Tests a number of signal controller policies.</t>
  </si>
  <si>
    <t>Online</t>
  </si>
  <si>
    <t>Highly adaptive learning scheme</t>
  </si>
  <si>
    <t>Measures the physical length of queues rather than number of vehicles. Supervised learning. Kalman filter for demand prediction.</t>
  </si>
  <si>
    <t>Artificial</t>
  </si>
  <si>
    <t>Two-phase intersections (left and through and right)</t>
  </si>
  <si>
    <t>Fixed cycle time</t>
  </si>
  <si>
    <t>Good explanation of stochastic user equilibrium (SUE) ie. path choice and traffic assignment (Wardrop). Dynamic nature of demand seems neglected.</t>
  </si>
  <si>
    <t>Wardrop, J.G.</t>
  </si>
  <si>
    <t xml:space="preserve"> Some theoretical aspects of road traffic research</t>
  </si>
  <si>
    <t>Many references to this paper "Wardrop Equilibrium".</t>
  </si>
  <si>
    <t>Key</t>
  </si>
  <si>
    <t>Wardrop</t>
  </si>
  <si>
    <t>Webster</t>
  </si>
  <si>
    <t>Journal</t>
  </si>
  <si>
    <t>European Journal of Operational Research</t>
  </si>
  <si>
    <t>Journal of Transportation Engineering</t>
  </si>
  <si>
    <t>Proceedings Institute of Civil
Engineering</t>
  </si>
  <si>
    <t>Springer</t>
  </si>
  <si>
    <t xml:space="preserve"> Great Britain Department of Scientific and Industrial Research</t>
  </si>
  <si>
    <t>Bandwidth maximization and red meeting probability minimization</t>
  </si>
  <si>
    <t>Paramics 2003 by Quadstone</t>
  </si>
  <si>
    <t>Real data from El Camino Real, Palo Alto, Calif. Various traffic scenarios.</t>
  </si>
  <si>
    <t>(not mentioned)</t>
  </si>
  <si>
    <t>QNEW</t>
  </si>
  <si>
    <t>Real data from Sioux Falls</t>
  </si>
  <si>
    <t>Comparison with GA from article 2 and a sensitivity analysis approach (QNEW&gt;&gt;GA&gt;SAB). Large test network but demand prediction is not discussed. No simulation performed.</t>
  </si>
  <si>
    <t>(Tom)</t>
  </si>
  <si>
    <t>Antal af Key</t>
  </si>
  <si>
    <t>2;20;22</t>
  </si>
  <si>
    <t>Transportation Science</t>
  </si>
  <si>
    <t>Michael Patriksson</t>
  </si>
  <si>
    <t>Sensitivity analysis of traffic equilibria</t>
  </si>
  <si>
    <t>PI (?)</t>
  </si>
  <si>
    <t>Non-adaptive. Optimization must be re-run if traffic conditions change by a large factor (they change all the time!). Red meeting probability seems like a good metric (minimize for lead vehicle of platoon and you are less likely to slow a platoon down).</t>
  </si>
  <si>
    <t>TraSim</t>
  </si>
  <si>
    <t>Total delay</t>
  </si>
  <si>
    <t>Transportation Research</t>
  </si>
  <si>
    <t>Solid description of vehicle platoons and characteristics (eg. headway threshold) + detection of them. Considers HIGHWAY intersections (ie non-urban). Actuation like single-vehicle actuation only for platoons. Special simulator developed to include platoon forming (also compared with CORSIM). Sacrifices some delay for vehicles on minor road to accomodate major road platoons.</t>
  </si>
  <si>
    <t>Actuated</t>
  </si>
  <si>
    <t>Historical data gathered from rural highways in Indiana</t>
  </si>
  <si>
    <t>(none, single intersection)</t>
  </si>
  <si>
    <t>2;22;25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</si>
</sst>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9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Border="1"/>
    <xf numFmtId="49" fontId="0" fillId="0" borderId="0" xfId="0" applyNumberForma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4" xfId="0" applyBorder="1" applyAlignment="1">
      <alignment horizontal="left"/>
    </xf>
    <xf numFmtId="0" fontId="0" fillId="0" borderId="4" xfId="0" applyNumberFormat="1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Border="1" applyAlignment="1">
      <alignment horizontal="left"/>
    </xf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Alignment="1">
      <alignment wrapText="1"/>
    </xf>
    <xf numFmtId="0" fontId="0" fillId="0" borderId="0" xfId="0" applyNumberFormat="1" applyBorder="1" applyAlignment="1">
      <alignment wrapText="1"/>
    </xf>
    <xf numFmtId="0" fontId="0" fillId="0" borderId="0" xfId="0" applyFont="1" applyBorder="1"/>
  </cellXfs>
  <cellStyles count="1">
    <cellStyle name="Normal" xfId="0" builtinId="0"/>
  </cellStyles>
  <dxfs count="23"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numFmt numFmtId="0" formatCode="General"/>
    </dxf>
    <dxf>
      <numFmt numFmtId="30" formatCode="@"/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a-DK"/>
  <c:style val="4"/>
  <c:pivotSource>
    <c:name>[Article_Listing.xlsm]Overview!Pivottabel1</c:name>
    <c:fmtId val="2"/>
  </c:pivotSource>
  <c:chart>
    <c:autoTitleDeleted val="1"/>
    <c:pivotFmts>
      <c:pivotFmt>
        <c:idx val="0"/>
      </c:pivotFmt>
      <c:pivotFmt>
        <c:idx val="1"/>
        <c:dLbl>
          <c:idx val="0"/>
          <c:delete val="1"/>
        </c:dLbl>
      </c:pivotFmt>
      <c:pivotFmt>
        <c:idx val="2"/>
        <c:dLbl>
          <c:idx val="0"/>
          <c:delete val="1"/>
        </c:dLbl>
      </c:pivotFmt>
      <c:pivotFmt>
        <c:idx val="3"/>
        <c:dLbl>
          <c:idx val="0"/>
          <c:delete val="1"/>
        </c:dLbl>
      </c:pivotFmt>
      <c:pivotFmt>
        <c:idx val="4"/>
        <c:dLbl>
          <c:idx val="0"/>
          <c:delete val="1"/>
        </c:dLbl>
      </c:pivotFmt>
      <c:pivotFmt>
        <c:idx val="5"/>
        <c:dLbl>
          <c:idx val="0"/>
          <c:delete val="1"/>
        </c:dLbl>
      </c:pivotFmt>
      <c:pivotFmt>
        <c:idx val="6"/>
        <c:dLbl>
          <c:idx val="0"/>
          <c:delete val="1"/>
        </c:dLbl>
      </c:pivotFmt>
      <c:pivotFmt>
        <c:idx val="7"/>
        <c:dLbl>
          <c:idx val="0"/>
          <c:delete val="1"/>
        </c:dLbl>
      </c:pivotFmt>
      <c:pivotFmt>
        <c:idx val="8"/>
        <c:dLbl>
          <c:idx val="0"/>
          <c:delete val="1"/>
        </c:dLbl>
      </c:pivotFmt>
      <c:pivotFmt>
        <c:idx val="9"/>
        <c:dLbl>
          <c:idx val="0"/>
          <c:delete val="1"/>
        </c:dLbl>
      </c:pivotFmt>
      <c:pivotFmt>
        <c:idx val="10"/>
        <c:dLbl>
          <c:idx val="0"/>
          <c:delete val="1"/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marker>
          <c:symbol val="none"/>
        </c:marker>
        <c:dLbl>
          <c:idx val="0"/>
          <c:delete val="1"/>
        </c:dLbl>
      </c:pivotFmt>
      <c:pivotFmt>
        <c:idx val="26"/>
        <c:marker>
          <c:symbol val="none"/>
        </c:marker>
        <c:dLbl>
          <c:idx val="0"/>
          <c:delete val="1"/>
        </c:dLbl>
      </c:pivotFmt>
      <c:pivotFmt>
        <c:idx val="27"/>
        <c:marker>
          <c:symbol val="none"/>
        </c:marker>
        <c:dLbl>
          <c:idx val="0"/>
          <c:delete val="1"/>
        </c:dLbl>
      </c:pivotFmt>
      <c:pivotFmt>
        <c:idx val="28"/>
        <c:marker>
          <c:symbol val="none"/>
        </c:marker>
        <c:dLbl>
          <c:idx val="0"/>
          <c:delete val="1"/>
        </c:dLbl>
      </c:pivotFmt>
      <c:pivotFmt>
        <c:idx val="29"/>
        <c:marker>
          <c:symbol val="none"/>
        </c:marker>
        <c:dLbl>
          <c:idx val="0"/>
          <c:delete val="1"/>
        </c:dLbl>
      </c:pivotFmt>
      <c:pivotFmt>
        <c:idx val="30"/>
        <c:marker>
          <c:symbol val="none"/>
        </c:marker>
        <c:dLbl>
          <c:idx val="0"/>
          <c:delete val="1"/>
        </c:dLbl>
      </c:pivotFmt>
      <c:pivotFmt>
        <c:idx val="31"/>
        <c:marker>
          <c:symbol val="none"/>
        </c:marker>
        <c:dLbl>
          <c:idx val="0"/>
          <c:delete val="1"/>
        </c:dLbl>
      </c:pivotFmt>
      <c:pivotFmt>
        <c:idx val="32"/>
        <c:marker>
          <c:symbol val="none"/>
        </c:marker>
        <c:dLbl>
          <c:idx val="0"/>
          <c:delete val="1"/>
        </c:dLbl>
      </c:pivotFmt>
      <c:pivotFmt>
        <c:idx val="33"/>
        <c:marker>
          <c:symbol val="none"/>
        </c:marker>
        <c:dLbl>
          <c:idx val="0"/>
          <c:delete val="1"/>
        </c:dLbl>
      </c:pivotFmt>
      <c:pivotFmt>
        <c:idx val="34"/>
        <c:marker>
          <c:symbol val="none"/>
        </c:marker>
        <c:dLbl>
          <c:idx val="0"/>
          <c:delete val="1"/>
        </c:dLbl>
      </c:pivotFmt>
      <c:pivotFmt>
        <c:idx val="35"/>
        <c:marker>
          <c:symbol val="none"/>
        </c:marker>
        <c:dLbl>
          <c:idx val="0"/>
          <c:delete val="1"/>
        </c:dLbl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Overview!$B$3:$B$4</c:f>
              <c:strCache>
                <c:ptCount val="1"/>
                <c:pt idx="0">
                  <c:v>1952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Overview!$B$5:$B$19</c:f>
              <c:numCache>
                <c:formatCode>General</c:formatCode>
                <c:ptCount val="14"/>
                <c:pt idx="13">
                  <c:v>1</c:v>
                </c:pt>
              </c:numCache>
            </c:numRef>
          </c:val>
        </c:ser>
        <c:ser>
          <c:idx val="1"/>
          <c:order val="1"/>
          <c:tx>
            <c:strRef>
              <c:f>Overview!$C$3:$C$4</c:f>
              <c:strCache>
                <c:ptCount val="1"/>
                <c:pt idx="0">
                  <c:v>1958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Overview!$C$5:$C$19</c:f>
              <c:numCache>
                <c:formatCode>General</c:formatCode>
                <c:ptCount val="14"/>
                <c:pt idx="13">
                  <c:v>1</c:v>
                </c:pt>
              </c:numCache>
            </c:numRef>
          </c:val>
        </c:ser>
        <c:ser>
          <c:idx val="2"/>
          <c:order val="2"/>
          <c:tx>
            <c:strRef>
              <c:f>Overview!$D$3:$D$4</c:f>
              <c:strCache>
                <c:ptCount val="1"/>
                <c:pt idx="0">
                  <c:v>1968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Overview!$D$5:$D$19</c:f>
              <c:numCache>
                <c:formatCode>General</c:formatCode>
                <c:ptCount val="14"/>
                <c:pt idx="2">
                  <c:v>1</c:v>
                </c:pt>
              </c:numCache>
            </c:numRef>
          </c:val>
        </c:ser>
        <c:ser>
          <c:idx val="3"/>
          <c:order val="3"/>
          <c:tx>
            <c:strRef>
              <c:f>Overview!$E$3:$E$4</c:f>
              <c:strCache>
                <c:ptCount val="1"/>
                <c:pt idx="0">
                  <c:v>1975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Overview!$E$5:$E$19</c:f>
              <c:numCache>
                <c:formatCode>General</c:formatCode>
                <c:ptCount val="14"/>
                <c:pt idx="5">
                  <c:v>1</c:v>
                </c:pt>
              </c:numCache>
            </c:numRef>
          </c:val>
        </c:ser>
        <c:ser>
          <c:idx val="4"/>
          <c:order val="4"/>
          <c:tx>
            <c:strRef>
              <c:f>Overview!$F$3:$F$4</c:f>
              <c:strCache>
                <c:ptCount val="1"/>
                <c:pt idx="0">
                  <c:v>1977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Overview!$F$5:$F$19</c:f>
              <c:numCache>
                <c:formatCode>General</c:formatCode>
                <c:ptCount val="14"/>
                <c:pt idx="6">
                  <c:v>1</c:v>
                </c:pt>
              </c:numCache>
            </c:numRef>
          </c:val>
        </c:ser>
        <c:ser>
          <c:idx val="5"/>
          <c:order val="5"/>
          <c:tx>
            <c:strRef>
              <c:f>Overview!$G$3:$G$4</c:f>
              <c:strCache>
                <c:ptCount val="1"/>
                <c:pt idx="0">
                  <c:v>1986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Overview!$G$5:$G$19</c:f>
              <c:numCache>
                <c:formatCode>General</c:formatCode>
                <c:ptCount val="14"/>
                <c:pt idx="11">
                  <c:v>1</c:v>
                </c:pt>
              </c:numCache>
            </c:numRef>
          </c:val>
        </c:ser>
        <c:ser>
          <c:idx val="6"/>
          <c:order val="6"/>
          <c:tx>
            <c:strRef>
              <c:f>Overview!$H$3:$H$4</c:f>
              <c:strCache>
                <c:ptCount val="1"/>
                <c:pt idx="0">
                  <c:v>1991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Overview!$H$5:$H$19</c:f>
              <c:numCache>
                <c:formatCode>General</c:formatCode>
                <c:ptCount val="14"/>
                <c:pt idx="5">
                  <c:v>1</c:v>
                </c:pt>
              </c:numCache>
            </c:numRef>
          </c:val>
        </c:ser>
        <c:ser>
          <c:idx val="7"/>
          <c:order val="7"/>
          <c:tx>
            <c:strRef>
              <c:f>Overview!$I$3:$I$4</c:f>
              <c:strCache>
                <c:ptCount val="1"/>
                <c:pt idx="0">
                  <c:v>1995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Overview!$I$5:$I$19</c:f>
              <c:numCache>
                <c:formatCode>General</c:formatCode>
                <c:ptCount val="14"/>
                <c:pt idx="5">
                  <c:v>1</c:v>
                </c:pt>
              </c:numCache>
            </c:numRef>
          </c:val>
        </c:ser>
        <c:ser>
          <c:idx val="8"/>
          <c:order val="8"/>
          <c:tx>
            <c:strRef>
              <c:f>Overview!$J$3:$J$4</c:f>
              <c:strCache>
                <c:ptCount val="1"/>
                <c:pt idx="0">
                  <c:v>1996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Overview!$J$5:$J$19</c:f>
              <c:numCache>
                <c:formatCode>General</c:formatCode>
                <c:ptCount val="14"/>
                <c:pt idx="2">
                  <c:v>1</c:v>
                </c:pt>
              </c:numCache>
            </c:numRef>
          </c:val>
        </c:ser>
        <c:ser>
          <c:idx val="9"/>
          <c:order val="9"/>
          <c:tx>
            <c:strRef>
              <c:f>Overview!$K$3:$K$4</c:f>
              <c:strCache>
                <c:ptCount val="1"/>
                <c:pt idx="0">
                  <c:v>1999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Overview!$K$5:$K$19</c:f>
              <c:numCache>
                <c:formatCode>General</c:formatCode>
                <c:ptCount val="14"/>
                <c:pt idx="4">
                  <c:v>1</c:v>
                </c:pt>
              </c:numCache>
            </c:numRef>
          </c:val>
        </c:ser>
        <c:ser>
          <c:idx val="10"/>
          <c:order val="10"/>
          <c:tx>
            <c:strRef>
              <c:f>Overview!$L$3:$L$4</c:f>
              <c:strCache>
                <c:ptCount val="1"/>
                <c:pt idx="0">
                  <c:v>2000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Overview!$L$5:$L$19</c:f>
              <c:numCache>
                <c:formatCode>General</c:formatCode>
                <c:ptCount val="14"/>
                <c:pt idx="3">
                  <c:v>1</c:v>
                </c:pt>
                <c:pt idx="10">
                  <c:v>1</c:v>
                </c:pt>
              </c:numCache>
            </c:numRef>
          </c:val>
        </c:ser>
        <c:ser>
          <c:idx val="11"/>
          <c:order val="11"/>
          <c:tx>
            <c:strRef>
              <c:f>Overview!$M$3:$M$4</c:f>
              <c:strCache>
                <c:ptCount val="1"/>
                <c:pt idx="0">
                  <c:v>2001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Overview!$M$5:$M$19</c:f>
              <c:numCache>
                <c:formatCode>General</c:formatCode>
                <c:ptCount val="14"/>
                <c:pt idx="0">
                  <c:v>2</c:v>
                </c:pt>
                <c:pt idx="7">
                  <c:v>1</c:v>
                </c:pt>
              </c:numCache>
            </c:numRef>
          </c:val>
        </c:ser>
        <c:ser>
          <c:idx val="12"/>
          <c:order val="12"/>
          <c:tx>
            <c:strRef>
              <c:f>Overview!$N$3:$N$4</c:f>
              <c:strCache>
                <c:ptCount val="1"/>
                <c:pt idx="0">
                  <c:v>2002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Overview!$N$5:$N$19</c:f>
              <c:numCache>
                <c:formatCode>General</c:formatCode>
                <c:ptCount val="14"/>
                <c:pt idx="3">
                  <c:v>1</c:v>
                </c:pt>
                <c:pt idx="5">
                  <c:v>1</c:v>
                </c:pt>
              </c:numCache>
            </c:numRef>
          </c:val>
        </c:ser>
        <c:ser>
          <c:idx val="13"/>
          <c:order val="13"/>
          <c:tx>
            <c:strRef>
              <c:f>Overview!$O$3:$O$4</c:f>
              <c:strCache>
                <c:ptCount val="1"/>
                <c:pt idx="0">
                  <c:v>2003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Overview!$O$5:$O$19</c:f>
              <c:numCache>
                <c:formatCode>General</c:formatCode>
                <c:ptCount val="14"/>
                <c:pt idx="3">
                  <c:v>1</c:v>
                </c:pt>
              </c:numCache>
            </c:numRef>
          </c:val>
        </c:ser>
        <c:ser>
          <c:idx val="14"/>
          <c:order val="14"/>
          <c:tx>
            <c:strRef>
              <c:f>Overview!$P$3:$P$4</c:f>
              <c:strCache>
                <c:ptCount val="1"/>
                <c:pt idx="0">
                  <c:v>2004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Overview!$P$5:$P$19</c:f>
              <c:numCache>
                <c:formatCode>General</c:formatCode>
                <c:ptCount val="14"/>
                <c:pt idx="0">
                  <c:v>1</c:v>
                </c:pt>
                <c:pt idx="3">
                  <c:v>4</c:v>
                </c:pt>
                <c:pt idx="5">
                  <c:v>2</c:v>
                </c:pt>
                <c:pt idx="9">
                  <c:v>1</c:v>
                </c:pt>
              </c:numCache>
            </c:numRef>
          </c:val>
        </c:ser>
        <c:ser>
          <c:idx val="15"/>
          <c:order val="15"/>
          <c:tx>
            <c:strRef>
              <c:f>Overview!$Q$3:$Q$4</c:f>
              <c:strCache>
                <c:ptCount val="1"/>
                <c:pt idx="0">
                  <c:v>2005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Overview!$Q$5:$Q$19</c:f>
              <c:numCache>
                <c:formatCode>General</c:formatCode>
                <c:ptCount val="14"/>
                <c:pt idx="2">
                  <c:v>1</c:v>
                </c:pt>
                <c:pt idx="3">
                  <c:v>1</c:v>
                </c:pt>
              </c:numCache>
            </c:numRef>
          </c:val>
        </c:ser>
        <c:ser>
          <c:idx val="16"/>
          <c:order val="16"/>
          <c:tx>
            <c:strRef>
              <c:f>Overview!$R$3:$R$4</c:f>
              <c:strCache>
                <c:ptCount val="1"/>
                <c:pt idx="0">
                  <c:v>2006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Overview!$R$5:$R$19</c:f>
              <c:numCache>
                <c:formatCode>General</c:formatCode>
                <c:ptCount val="14"/>
                <c:pt idx="1">
                  <c:v>1</c:v>
                </c:pt>
                <c:pt idx="3">
                  <c:v>1</c:v>
                </c:pt>
                <c:pt idx="5">
                  <c:v>1</c:v>
                </c:pt>
                <c:pt idx="10">
                  <c:v>1</c:v>
                </c:pt>
                <c:pt idx="12">
                  <c:v>1</c:v>
                </c:pt>
              </c:numCache>
            </c:numRef>
          </c:val>
        </c:ser>
        <c:ser>
          <c:idx val="17"/>
          <c:order val="17"/>
          <c:tx>
            <c:strRef>
              <c:f>Overview!$S$3:$S$4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Overview!$A$5:$A$19</c:f>
              <c:strCache>
                <c:ptCount val="14"/>
                <c:pt idx="0">
                  <c:v>(Informational)</c:v>
                </c:pt>
                <c:pt idx="1">
                  <c:v>Agent network</c:v>
                </c:pt>
                <c:pt idx="2">
                  <c:v>Dynamic Programming</c:v>
                </c:pt>
                <c:pt idx="3">
                  <c:v>Genetic Algorithm</c:v>
                </c:pt>
                <c:pt idx="4">
                  <c:v>Gradient</c:v>
                </c:pt>
                <c:pt idx="5">
                  <c:v>Integer Programming</c:v>
                </c:pt>
                <c:pt idx="6">
                  <c:v>Modelling</c:v>
                </c:pt>
                <c:pt idx="7">
                  <c:v>Neural networks, fuzzy logic</c:v>
                </c:pt>
                <c:pt idx="8">
                  <c:v>Numerical search</c:v>
                </c:pt>
                <c:pt idx="9">
                  <c:v>Reinforcement learning</c:v>
                </c:pt>
                <c:pt idx="10">
                  <c:v>Simulation</c:v>
                </c:pt>
                <c:pt idx="11">
                  <c:v>Simulation, Dynamic Programming</c:v>
                </c:pt>
                <c:pt idx="12">
                  <c:v>Tabu Search</c:v>
                </c:pt>
                <c:pt idx="13">
                  <c:v>(Tom)</c:v>
                </c:pt>
              </c:strCache>
            </c:strRef>
          </c:cat>
          <c:val>
            <c:numRef>
              <c:f>Overview!$S$5:$S$19</c:f>
              <c:numCache>
                <c:formatCode>General</c:formatCode>
                <c:ptCount val="14"/>
                <c:pt idx="0">
                  <c:v>1</c:v>
                </c:pt>
                <c:pt idx="3">
                  <c:v>1</c:v>
                </c:pt>
                <c:pt idx="4">
                  <c:v>1</c:v>
                </c:pt>
                <c:pt idx="8">
                  <c:v>5</c:v>
                </c:pt>
              </c:numCache>
            </c:numRef>
          </c:val>
        </c:ser>
        <c:overlap val="100"/>
        <c:axId val="62380288"/>
        <c:axId val="62525440"/>
      </c:barChart>
      <c:catAx>
        <c:axId val="62380288"/>
        <c:scaling>
          <c:orientation val="minMax"/>
        </c:scaling>
        <c:axPos val="b"/>
        <c:tickLblPos val="nextTo"/>
        <c:crossAx val="62525440"/>
        <c:crosses val="autoZero"/>
        <c:auto val="1"/>
        <c:lblAlgn val="ctr"/>
        <c:lblOffset val="100"/>
      </c:catAx>
      <c:valAx>
        <c:axId val="62525440"/>
        <c:scaling>
          <c:orientation val="minMax"/>
          <c:min val="0"/>
        </c:scaling>
        <c:axPos val="l"/>
        <c:majorGridlines/>
        <c:numFmt formatCode="General" sourceLinked="1"/>
        <c:tickLblPos val="nextTo"/>
        <c:crossAx val="62380288"/>
        <c:crosses val="autoZero"/>
        <c:crossBetween val="between"/>
        <c:majorUnit val="1"/>
      </c:valAx>
    </c:plotArea>
    <c:legend>
      <c:legendPos val="r"/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1019175</xdr:colOff>
      <xdr:row>18</xdr:row>
      <xdr:rowOff>57150</xdr:rowOff>
    </xdr:from>
    <xdr:to>
      <xdr:col>11</xdr:col>
      <xdr:colOff>257176</xdr:colOff>
      <xdr:row>35</xdr:row>
      <xdr:rowOff>152400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as Warberg" refreshedDate="39356.83214189815" createdVersion="3" refreshedVersion="3" minRefreshableVersion="3" recordCount="41">
  <cacheSource type="worksheet">
    <worksheetSource name="Articles"/>
  </cacheSource>
  <cacheFields count="16">
    <cacheField name="Key" numFmtId="0">
      <sharedItems containsMixedTypes="1" containsNumber="1" containsInteger="1" minValue="1" maxValue="39"/>
    </cacheField>
    <cacheField name="Optimization method" numFmtId="0">
      <sharedItems containsBlank="1" count="14">
        <s v="Tabu Search"/>
        <s v="Genetic Algorithm"/>
        <s v="(Informational)"/>
        <s v="Integer Programming"/>
        <s v="Dynamic Programming"/>
        <s v="Simulation, Dynamic Programming"/>
        <s v="Reinforcement learning"/>
        <s v="Neural networks, fuzzy logic"/>
        <s v="Numerical search"/>
        <s v="Gradient"/>
        <s v="Simulation"/>
        <s v="Modelling"/>
        <m/>
        <s v="Agent network"/>
      </sharedItems>
    </cacheField>
    <cacheField name="Methodology" numFmtId="0">
      <sharedItems containsBlank="1"/>
    </cacheField>
    <cacheField name="Demand forecast base" numFmtId="0">
      <sharedItems containsBlank="1"/>
    </cacheField>
    <cacheField name="Network size" numFmtId="0">
      <sharedItems containsBlank="1" containsMixedTypes="1" containsNumber="1" containsInteger="1" minValue="1" maxValue="24"/>
    </cacheField>
    <cacheField name="Data set" numFmtId="0">
      <sharedItems containsBlank="1"/>
    </cacheField>
    <cacheField name="Synchronization type" numFmtId="0">
      <sharedItems containsBlank="1"/>
    </cacheField>
    <cacheField name="MOE" numFmtId="0">
      <sharedItems containsBlank="1"/>
    </cacheField>
    <cacheField name="Simulator" numFmtId="0">
      <sharedItems containsBlank="1"/>
    </cacheField>
    <cacheField name="Year" numFmtId="0">
      <sharedItems containsSemiMixedTypes="0" containsString="0" containsNumber="1" containsInteger="1" minValue="1952" maxValue="2007" count="18">
        <n v="2006"/>
        <n v="2007"/>
        <n v="2000"/>
        <n v="2004"/>
        <n v="2002"/>
        <n v="1996"/>
        <n v="1991"/>
        <n v="1986"/>
        <n v="2005"/>
        <n v="2001"/>
        <n v="1968"/>
        <n v="1975"/>
        <n v="1977"/>
        <n v="1999"/>
        <n v="2003"/>
        <n v="1995"/>
        <n v="1958"/>
        <n v="1952"/>
      </sharedItems>
    </cacheField>
    <cacheField name="Journal" numFmtId="0">
      <sharedItems containsBlank="1"/>
    </cacheField>
    <cacheField name="Authors" numFmtId="0">
      <sharedItems/>
    </cacheField>
    <cacheField name="Title" numFmtId="49">
      <sharedItems/>
    </cacheField>
    <cacheField name="Cited in" numFmtId="0">
      <sharedItems containsBlank="1" containsMixedTypes="1" containsNumber="1" containsInteger="1" minValue="2" maxValue="20"/>
    </cacheField>
    <cacheField name="Importance" numFmtId="0">
      <sharedItems containsMixedTypes="1" containsNumber="1" containsInteger="1" minValue="1" maxValue="3"/>
    </cacheField>
    <cacheField name="Comments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">
  <r>
    <n v="1"/>
    <x v="0"/>
    <m/>
    <s v="Adaptive"/>
    <m/>
    <m/>
    <s v="Phase based"/>
    <s v="Average delay"/>
    <s v="CORSIM"/>
    <x v="0"/>
    <m/>
    <s v="Michael Shenoda, Randy Machemehl "/>
    <s v="Development of a Phase-by-Phase, Arrival-Based, Delay-Optimized Adaptive Traffic Signal Control Methodology with Metaheuristic Search"/>
    <m/>
    <s v=""/>
    <s v="Elaborate in discussing alternatives etc. Some programming in Excel. Includes source code. Review of research in adaptive signal control."/>
  </r>
  <r>
    <n v="2"/>
    <x v="1"/>
    <m/>
    <m/>
    <m/>
    <m/>
    <m/>
    <m/>
    <m/>
    <x v="1"/>
    <m/>
    <s v="Fitsum Teklu, Agachai Sumalee, David Watling"/>
    <s v="A Genetic Algorithm Approach for Optimizing Traffic Control Signals Considering Routing"/>
    <m/>
    <s v=""/>
    <m/>
  </r>
  <r>
    <n v="3"/>
    <x v="2"/>
    <m/>
    <m/>
    <m/>
    <m/>
    <m/>
    <m/>
    <m/>
    <x v="1"/>
    <m/>
    <s v="US Dep. Of Transportation, Intelligent Transportation Systems"/>
    <s v="Traffic Signal Control - Deployment Benefits and lessons learned"/>
    <m/>
    <s v=""/>
    <m/>
  </r>
  <r>
    <n v="4"/>
    <x v="1"/>
    <m/>
    <m/>
    <m/>
    <m/>
    <m/>
    <m/>
    <m/>
    <x v="2"/>
    <m/>
    <s v="Byungkyu “Brian” Park, Nagui M. Rouphail, Jerome Sacks"/>
    <s v="Assessment of a Stochastic Signal Optimization Method Using Microsimulation"/>
    <m/>
    <s v=""/>
    <s v="Shows that adaptive methods are superior to purely history (statistics) based  methods."/>
  </r>
  <r>
    <n v="5"/>
    <x v="3"/>
    <m/>
    <m/>
    <m/>
    <m/>
    <m/>
    <m/>
    <m/>
    <x v="3"/>
    <m/>
    <s v="Wei-Hua Lin, Chenghong Wang"/>
    <s v="An Enhanced 0–1 Mixed-Integer LP Formulation for Traffic Signal Control"/>
    <m/>
    <s v=""/>
    <m/>
  </r>
  <r>
    <n v="6"/>
    <x v="3"/>
    <m/>
    <m/>
    <m/>
    <m/>
    <m/>
    <m/>
    <m/>
    <x v="3"/>
    <m/>
    <s v="Nathan H. Gartner, Chronis Stamatiadis"/>
    <s v="Progression Optimization Featuring&#10;Arterial- and Route-Based Priority&#10;Signal Networks"/>
    <m/>
    <s v=""/>
    <s v="Heuristics for speeding up the solve process by putting focus on vehicle platoons."/>
  </r>
  <r>
    <n v="7"/>
    <x v="1"/>
    <m/>
    <m/>
    <m/>
    <m/>
    <m/>
    <m/>
    <m/>
    <x v="4"/>
    <m/>
    <s v="Sei Takahashi, Hideo Nakamura, Hiroshi Kazama, Tomokazu Fujikura"/>
    <s v="Genetic Algorithm Approach for Adaptive Offset Optimization for the Fluctuation of Traffic Flow"/>
    <m/>
    <s v=""/>
    <s v="Simple, embedded, simulator. Vehicles follows a route from start to finish (no turning off)."/>
  </r>
  <r>
    <n v="8"/>
    <x v="4"/>
    <m/>
    <s v="Adaptive"/>
    <m/>
    <m/>
    <m/>
    <m/>
    <m/>
    <x v="5"/>
    <m/>
    <s v="I. Porche, M. Sampath, R. Sengupta,  Y.-L. Chen,  S.  Lafortune "/>
    <s v="A Decentralized Scheme for Real-Time Optimization of Traffic Signals"/>
    <m/>
    <s v=""/>
    <s v="ALLONS-D, adaptive scheme, no fixed-cycle-length requirement. Each signal controller minimizes delay for approaches to intersection."/>
  </r>
  <r>
    <n v="9"/>
    <x v="3"/>
    <s v="MULTIBAND"/>
    <s v="Historical"/>
    <n v="9"/>
    <s v="New Orleans"/>
    <s v="Common cycle"/>
    <s v="Average delay"/>
    <s v="NETSIM"/>
    <x v="6"/>
    <m/>
    <s v="Gartner, N.H.;  Assmann, S.F.;  Lasaga, F.;  Hou, D.L."/>
    <s v="A multi-band approach to arterial traffic signal optimization"/>
    <n v="6"/>
    <n v="1"/>
    <s v="Progression method (platooning). Model walkthrough (MAXBAND, PASSER II, TRANSYT)"/>
  </r>
  <r>
    <n v="10"/>
    <x v="5"/>
    <s v="Stochastic inventory model"/>
    <s v="Historical"/>
    <n v="1"/>
    <s v="Single signal with varying traffic volume"/>
    <s v="Phase based"/>
    <s v="Average delay"/>
    <s v="SIMAN"/>
    <x v="7"/>
    <m/>
    <s v="Saka, A.A.;  Anandalingam, G.;  Garger, N.J."/>
    <s v="Traffic signal timing at isolated intersections using simulation optimization"/>
    <m/>
    <s v=""/>
    <s v="Problem cast into realm of queueing theory. Postulates that erlang distributed arrivals are the most realistic (platooning?)."/>
  </r>
  <r>
    <n v="11"/>
    <x v="3"/>
    <s v="HPN/MLDS"/>
    <s v="Adaptive"/>
    <n v="16"/>
    <s v="Artificial grid"/>
    <m/>
    <m/>
    <s v="Cellular Automaton"/>
    <x v="0"/>
    <m/>
    <s v="Tatsuya Kato, YoungWoo Kim, Shigeru Okuma and Tatsuo Narikiyo"/>
    <s v="Large-Scale Traffic Network Control Based on Convex Programming Coupled with B&amp;B Strategy"/>
    <m/>
    <s v=""/>
    <m/>
  </r>
  <r>
    <n v="12"/>
    <x v="4"/>
    <s v="Fuzzy logic controller with GA learning"/>
    <s v="Adaptive"/>
    <n v="2"/>
    <s v="Simple two-junction network"/>
    <m/>
    <s v="Average delay and number of stops"/>
    <s v="(A simulator is used but the name is not given)"/>
    <x v="8"/>
    <m/>
    <s v="Tsin Hing Heung;  Tin Kin Ho;  Yu Fai Fung"/>
    <s v="Coordinated road-junction traffic control by dynamic programming"/>
    <m/>
    <s v=""/>
    <s v="Puts focus on decentralized control. Points out that adaptive control systems such as SCOOT has been shown to outperform static optimization eg. Webster but not in an overwhelmingly manner."/>
  </r>
  <r>
    <n v="13"/>
    <x v="1"/>
    <m/>
    <s v="Historical"/>
    <n v="16"/>
    <s v="Artifical, but complex, network"/>
    <m/>
    <s v="Average time in network"/>
    <s v="Cellular Automaton"/>
    <x v="3"/>
    <m/>
    <s v="Sanchez, J.J.;  Galan, M.;  Rubio, E."/>
    <s v="Genetic algorithms and cellular automata: a new architecture for traffic light cycles optimization"/>
    <m/>
    <s v=""/>
    <s v="Deterministic simulator (consider fixed seed instead). Chromosone evaluation parrallelized."/>
  </r>
  <r>
    <n v="14"/>
    <x v="6"/>
    <s v="Highly adaptive learning scheme"/>
    <s v="Online"/>
    <s v="15 (urban), 14 (surrounding highway)"/>
    <s v="Urban street network and ordinary streets with highways around"/>
    <m/>
    <s v="Average delay"/>
    <s v="Green Ligth District"/>
    <x v="3"/>
    <m/>
    <s v="Wiering, M.;  Vreeken, J.;  van Veenen, J.;  Koopman, A."/>
    <s v="Simulation and optimization of traffic in a city"/>
    <m/>
    <s v=""/>
    <s v="Actually learning by punishment. A penalty is given when vehicles wait. Tests a number of signal controller policies."/>
  </r>
  <r>
    <n v="15"/>
    <x v="7"/>
    <m/>
    <s v="Adaptive"/>
    <n v="10"/>
    <s v="Artificial"/>
    <m/>
    <s v="Average delay"/>
    <m/>
    <x v="9"/>
    <m/>
    <s v="GiYoung Lim;  JeongJin Kang;  YouSik Hong"/>
    <s v="The optimization of traffic signal light using artificial intelligence"/>
    <m/>
    <s v=""/>
    <s v="Measures the physical length of queues rather than number of vehicles. Supervised learning. Kalman filter for demand prediction."/>
  </r>
  <r>
    <n v="16"/>
    <x v="4"/>
    <m/>
    <m/>
    <m/>
    <m/>
    <m/>
    <m/>
    <m/>
    <x v="10"/>
    <m/>
    <s v="Stoffers, K.E."/>
    <s v="Scheduling of traffic lights -- New approach"/>
    <m/>
    <s v=""/>
    <m/>
  </r>
  <r>
    <n v="17"/>
    <x v="2"/>
    <m/>
    <m/>
    <m/>
    <m/>
    <m/>
    <m/>
    <m/>
    <x v="3"/>
    <m/>
    <s v="Peter Bäcker Hansen, Lars Bo Frederiksen, Peter Christensen"/>
    <s v="Signalregulering på Centrumforbindelsen med UTOPIA/SPOT"/>
    <m/>
    <s v=""/>
    <m/>
  </r>
  <r>
    <n v="18"/>
    <x v="2"/>
    <m/>
    <m/>
    <m/>
    <m/>
    <m/>
    <m/>
    <m/>
    <x v="9"/>
    <m/>
    <s v="Nicoline Varberg, Dorrit Jakobsen"/>
    <s v="MOTION"/>
    <m/>
    <s v=""/>
    <m/>
  </r>
  <r>
    <n v="19"/>
    <x v="2"/>
    <m/>
    <m/>
    <m/>
    <m/>
    <m/>
    <m/>
    <m/>
    <x v="9"/>
    <m/>
    <s v="Niels Chr. Johannesen"/>
    <s v="Adaptive styresystemer sikrer optimalt investering"/>
    <m/>
    <s v=""/>
    <m/>
  </r>
  <r>
    <n v="20"/>
    <x v="8"/>
    <m/>
    <s v="Historical"/>
    <n v="2"/>
    <s v="Two-phase intersections (left and through and right)"/>
    <s v="Fixed cycle time"/>
    <s v="Average time in network"/>
    <s v="(none)"/>
    <x v="1"/>
    <s v="European Journal of Operational Research"/>
    <s v="Ying, J.Q.;  Lu, H.;  Shi, J."/>
    <s v="An algorithm for local continuous optimization of traffic signals"/>
    <m/>
    <s v=""/>
    <s v="Good explanation of stochastic user equilibrium (SUE) ie. path choice and traffic assignment (Wardrop). Dynamic nature of demand seems neglected."/>
  </r>
  <r>
    <n v="21"/>
    <x v="8"/>
    <m/>
    <s v="Historical"/>
    <n v="6"/>
    <s v="Real data from El Camino Real, Palo Alto, Calif. Various traffic scenarios."/>
    <s v="Fixed cycle time"/>
    <s v="Bandwidth maximization and red meeting probability minimization"/>
    <s v="Paramics 2003 by Quadstone"/>
    <x v="1"/>
    <s v="Journal of Transportation Engineering"/>
    <s v="Yin, Yafeng;  Li, Meng;  Skabardonis, Alexander"/>
    <s v="Offline offset refiner for coordinated actuated signal control systems"/>
    <m/>
    <s v=""/>
    <s v="Non-adaptive. Optimization must be re-run if traffic conditions change by a large factor. Red meeting probability seems like a good metric (minimize for lead vehicle of platoon and you are less likely to slow a platoon down)."/>
  </r>
  <r>
    <n v="22"/>
    <x v="8"/>
    <s v="QNEW"/>
    <s v="(not mentioned)"/>
    <n v="24"/>
    <s v="Real data from Sioux Falls"/>
    <s v="Common cycle"/>
    <s v="PI(?)"/>
    <s v="(none)"/>
    <x v="1"/>
    <m/>
    <s v="Chiou, S.W."/>
    <s v="Comparative tests of solution methods for signal-controlled road networks"/>
    <m/>
    <s v=""/>
    <s v="Comparison with GA from article 2 and a sensitivity analysis approach (QNEW&gt;&gt;GA&gt;SAB). Large test network but demand prediction is not discussed. No simulation performed."/>
  </r>
  <r>
    <n v="23"/>
    <x v="8"/>
    <m/>
    <m/>
    <m/>
    <m/>
    <m/>
    <m/>
    <m/>
    <x v="1"/>
    <m/>
    <s v="Chiou, S.W."/>
    <s v="An iterative scheme for signal settings and network flows"/>
    <m/>
    <s v=""/>
    <m/>
  </r>
  <r>
    <n v="24"/>
    <x v="9"/>
    <m/>
    <m/>
    <m/>
    <m/>
    <m/>
    <m/>
    <m/>
    <x v="1"/>
    <m/>
    <s v="Chiou, S.W."/>
    <s v="Optimal design of signal-controlled road network"/>
    <m/>
    <s v=""/>
    <m/>
  </r>
  <r>
    <n v="25"/>
    <x v="10"/>
    <m/>
    <m/>
    <m/>
    <m/>
    <m/>
    <m/>
    <m/>
    <x v="0"/>
    <m/>
    <s v="Jiang, Y.;  Li, S.;  Shamo, D.E."/>
    <s v="A platoon-based traffic signal timing algorithm for major-minor intersection types"/>
    <m/>
    <s v=""/>
    <m/>
  </r>
  <r>
    <n v="26"/>
    <x v="1"/>
    <m/>
    <m/>
    <m/>
    <m/>
    <m/>
    <m/>
    <m/>
    <x v="0"/>
    <m/>
    <s v="Ceylan, Halim"/>
    <s v="Developing combined genetic algorithm - Hill-climbing optimization method for area traffic control"/>
    <m/>
    <s v=""/>
    <m/>
  </r>
  <r>
    <n v="27"/>
    <x v="1"/>
    <m/>
    <m/>
    <m/>
    <m/>
    <m/>
    <m/>
    <m/>
    <x v="3"/>
    <m/>
    <s v="Ceylan, Halim;  Bell, Michael G.H."/>
    <s v="Genetic algorithm solution for the stochastic equilibrium transportation networks under congestion"/>
    <m/>
    <s v=""/>
    <m/>
  </r>
  <r>
    <n v="28"/>
    <x v="3"/>
    <m/>
    <m/>
    <m/>
    <m/>
    <m/>
    <m/>
    <m/>
    <x v="11"/>
    <m/>
    <s v="Gartner, Nathan H.; Little, John D. C.; Gabbay, Henry"/>
    <s v="Optimization of Traffic Signal Settings by Mixed-Integer Linear Programming Part I: The Network Coordination Problem."/>
    <m/>
    <s v=""/>
    <m/>
  </r>
  <r>
    <n v="29"/>
    <x v="10"/>
    <m/>
    <m/>
    <m/>
    <m/>
    <m/>
    <m/>
    <m/>
    <x v="2"/>
    <m/>
    <s v="Byungkyu &quot;Brian&quot; Park, Nagui M. Rouphail, and Joseph E. Hummer"/>
    <s v="Probabilistic Approach to Implementing Traffic Signal Warrants"/>
    <n v="2"/>
    <n v="1"/>
    <m/>
  </r>
  <r>
    <n v="30"/>
    <x v="1"/>
    <m/>
    <m/>
    <m/>
    <m/>
    <m/>
    <m/>
    <m/>
    <x v="8"/>
    <m/>
    <s v=" Ilsoo Yun;  Byungkyu Park"/>
    <s v="Estimation of dynamic origin destination matrix: a genetic algorithm approach"/>
    <n v="2"/>
    <n v="1"/>
    <m/>
  </r>
  <r>
    <n v="31"/>
    <x v="1"/>
    <m/>
    <m/>
    <m/>
    <m/>
    <m/>
    <m/>
    <m/>
    <x v="3"/>
    <m/>
    <s v="Taale, H.;  van Zuylen, H.J."/>
    <s v="Integrated anticipatory control"/>
    <n v="2"/>
    <n v="1"/>
    <m/>
  </r>
  <r>
    <n v="32"/>
    <x v="11"/>
    <m/>
    <m/>
    <m/>
    <m/>
    <m/>
    <m/>
    <m/>
    <x v="12"/>
    <m/>
    <s v="Daganzo, Carlos F., Sheffi, Yosef"/>
    <s v="On Stochastic Models of Traffic Assignment"/>
    <n v="2"/>
    <n v="1"/>
    <m/>
  </r>
  <r>
    <n v="33"/>
    <x v="1"/>
    <m/>
    <m/>
    <m/>
    <m/>
    <m/>
    <m/>
    <m/>
    <x v="3"/>
    <m/>
    <s v="Ceylan, H.;  Bell, M.G.H."/>
    <s v="Traffic signal timing optimisation based on genetic algorithm approach, including drivers' routing"/>
    <n v="2"/>
    <n v="1"/>
    <m/>
  </r>
  <r>
    <n v="34"/>
    <x v="9"/>
    <m/>
    <m/>
    <m/>
    <m/>
    <m/>
    <m/>
    <m/>
    <x v="13"/>
    <m/>
    <s v="Chiou, S.W."/>
    <s v="Optimization of Area Traffic Control for Equilibrium Network Flows. "/>
    <s v="2;20"/>
    <n v="2"/>
    <m/>
  </r>
  <r>
    <n v="35"/>
    <x v="1"/>
    <m/>
    <m/>
    <m/>
    <m/>
    <m/>
    <m/>
    <m/>
    <x v="14"/>
    <m/>
    <s v="Anil Kamarajugadda, Dr. Byungkyu &quot;Brian&quot; Park "/>
    <s v="Stochastic Traffic Signal Timing Optimization "/>
    <m/>
    <s v=""/>
    <m/>
  </r>
  <r>
    <n v="36"/>
    <x v="3"/>
    <m/>
    <m/>
    <m/>
    <m/>
    <m/>
    <m/>
    <m/>
    <x v="15"/>
    <m/>
    <s v="Ramanathan, B.;  McNally, M.G.;  Jayakrishnan, R."/>
    <s v="Formulation of modern signal control operations as a non-linear mixed integer program"/>
    <n v="5"/>
    <n v="1"/>
    <m/>
  </r>
  <r>
    <n v="37"/>
    <x v="3"/>
    <m/>
    <m/>
    <m/>
    <m/>
    <m/>
    <m/>
    <m/>
    <x v="4"/>
    <m/>
    <s v="Gartner, N.H.;  Stamatiadis, C."/>
    <s v="Arterial-based control of traffic flow in urban grid networks"/>
    <n v="6"/>
    <n v="1"/>
    <m/>
  </r>
  <r>
    <s v="Webster"/>
    <x v="12"/>
    <m/>
    <s v="Historical"/>
    <m/>
    <m/>
    <m/>
    <m/>
    <m/>
    <x v="16"/>
    <s v=" Great Britain Department of Scientific and Industrial Research"/>
    <s v="Webster, F. V."/>
    <s v="Traffic Signal Setting"/>
    <s v="1; 10; 38"/>
    <n v="3"/>
    <m/>
  </r>
  <r>
    <n v="38"/>
    <x v="8"/>
    <s v="Treats intersection as a server in a queue system"/>
    <s v="Adaptive"/>
    <n v="1"/>
    <s v="Single intersection with different flows"/>
    <s v="Phase based"/>
    <s v="Average delay"/>
    <s v="MATLAB"/>
    <x v="1"/>
    <m/>
    <s v="Mirchandani, P. B.;  Zou, N."/>
    <s v="Queuing Models for Analysis of Traffic Adaptive Signal Control"/>
    <m/>
    <s v=""/>
    <s v="Only single intersection considered. Mentions performance problems. Shows that simulation is more realistic than analytical forecast."/>
  </r>
  <r>
    <n v="39"/>
    <x v="13"/>
    <s v="Webster, frequent updates"/>
    <s v="Adaptive"/>
    <n v="1"/>
    <s v="MinQuan W. Rd. and ChenDer Rd."/>
    <m/>
    <m/>
    <s v="(none)"/>
    <x v="0"/>
    <s v="Springer"/>
    <s v="Lee, Dong-liang;  Deng, Lawrence Y."/>
    <s v="Self Awareness and Adaptive Traffic Signal Control System for Smart World"/>
    <m/>
    <s v=""/>
    <m/>
  </r>
  <r>
    <s v="Wardrop"/>
    <x v="12"/>
    <m/>
    <m/>
    <m/>
    <m/>
    <m/>
    <m/>
    <m/>
    <x v="17"/>
    <s v="Proceedings Institute of Civil&#10;Engineering"/>
    <s v="Wardrop, J.G."/>
    <s v=" Some theoretical aspects of road traffic research"/>
    <n v="20"/>
    <n v="1"/>
    <s v="Many references to this paper &quot;Wardrop Equilibrium&quot;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1" cacheId="0" applyNumberFormats="0" applyBorderFormats="0" applyFontFormats="0" applyPatternFormats="0" applyAlignmentFormats="0" applyWidthHeightFormats="1" dataCaption="Værdier" grandTotalCaption="Total for method" updatedVersion="3" minRefreshableVersion="3" showCalcMbrs="0" useAutoFormatting="1" itemPrintTitles="1" createdVersion="3" indent="0" outline="1" outlineData="1" multipleFieldFilters="0" chartFormat="3" rowHeaderCaption="Method" colHeaderCaption="Publication year">
  <location ref="A3:T19" firstHeaderRow="1" firstDataRow="2" firstDataCol="1"/>
  <pivotFields count="16">
    <pivotField dataField="1" showAll="0" defaultSubtotal="0"/>
    <pivotField axis="axisRow" showAll="0" defaultSubtotal="0">
      <items count="14">
        <item x="2"/>
        <item x="13"/>
        <item x="4"/>
        <item x="1"/>
        <item x="9"/>
        <item x="3"/>
        <item x="11"/>
        <item x="7"/>
        <item x="8"/>
        <item x="6"/>
        <item x="10"/>
        <item x="5"/>
        <item x="0"/>
        <item x="1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sortType="ascending">
      <items count="19">
        <item x="17"/>
        <item x="16"/>
        <item x="10"/>
        <item x="11"/>
        <item x="12"/>
        <item x="7"/>
        <item x="6"/>
        <item x="15"/>
        <item x="5"/>
        <item x="13"/>
        <item x="2"/>
        <item x="9"/>
        <item x="4"/>
        <item x="14"/>
        <item x="3"/>
        <item x="8"/>
        <item x="0"/>
        <item x="1"/>
        <item t="default"/>
      </items>
    </pivotField>
    <pivotField showAll="0" defaultSubtotal="0"/>
    <pivotField showAll="0"/>
    <pivotField showAll="0"/>
    <pivotField showAll="0" defaultSubtotal="0"/>
    <pivotField showAll="0" defaultSubtotal="0"/>
    <pivotField showAll="0" defaultSubtotal="0"/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9"/>
  </colFields>
  <col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Antal af Key" fld="0" subtotal="count" baseField="0" baseItem="0"/>
  </dataFields>
  <chartFormats count="18">
    <chartFormat chart="2" format="53" series="1">
      <pivotArea type="data" outline="0" fieldPosition="0">
        <references count="1">
          <reference field="9" count="1" selected="0">
            <x v="0"/>
          </reference>
        </references>
      </pivotArea>
    </chartFormat>
    <chartFormat chart="2" format="54" series="1">
      <pivotArea type="data" outline="0" fieldPosition="0">
        <references count="1">
          <reference field="9" count="1" selected="0">
            <x v="1"/>
          </reference>
        </references>
      </pivotArea>
    </chartFormat>
    <chartFormat chart="2" format="55" series="1">
      <pivotArea type="data" outline="0" fieldPosition="0">
        <references count="1">
          <reference field="9" count="1" selected="0">
            <x v="2"/>
          </reference>
        </references>
      </pivotArea>
    </chartFormat>
    <chartFormat chart="2" format="56" series="1">
      <pivotArea type="data" outline="0" fieldPosition="0">
        <references count="1">
          <reference field="9" count="1" selected="0">
            <x v="3"/>
          </reference>
        </references>
      </pivotArea>
    </chartFormat>
    <chartFormat chart="2" format="57" series="1">
      <pivotArea type="data" outline="0" fieldPosition="0">
        <references count="1">
          <reference field="9" count="1" selected="0">
            <x v="4"/>
          </reference>
        </references>
      </pivotArea>
    </chartFormat>
    <chartFormat chart="2" format="58" series="1">
      <pivotArea type="data" outline="0" fieldPosition="0">
        <references count="1">
          <reference field="9" count="1" selected="0">
            <x v="5"/>
          </reference>
        </references>
      </pivotArea>
    </chartFormat>
    <chartFormat chart="2" format="59" series="1">
      <pivotArea type="data" outline="0" fieldPosition="0">
        <references count="1">
          <reference field="9" count="1" selected="0">
            <x v="6"/>
          </reference>
        </references>
      </pivotArea>
    </chartFormat>
    <chartFormat chart="2" format="60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2" format="61" series="1">
      <pivotArea type="data" outline="0" fieldPosition="0">
        <references count="1">
          <reference field="9" count="1" selected="0">
            <x v="8"/>
          </reference>
        </references>
      </pivotArea>
    </chartFormat>
    <chartFormat chart="2" format="62" series="1">
      <pivotArea type="data" outline="0" fieldPosition="0">
        <references count="1">
          <reference field="9" count="1" selected="0">
            <x v="9"/>
          </reference>
        </references>
      </pivotArea>
    </chartFormat>
    <chartFormat chart="2" format="63" series="1">
      <pivotArea type="data" outline="0" fieldPosition="0">
        <references count="1">
          <reference field="9" count="1" selected="0">
            <x v="10"/>
          </reference>
        </references>
      </pivotArea>
    </chartFormat>
    <chartFormat chart="2" format="64" series="1">
      <pivotArea type="data" outline="0" fieldPosition="0">
        <references count="1">
          <reference field="9" count="1" selected="0">
            <x v="11"/>
          </reference>
        </references>
      </pivotArea>
    </chartFormat>
    <chartFormat chart="2" format="65" series="1">
      <pivotArea type="data" outline="0" fieldPosition="0">
        <references count="1">
          <reference field="9" count="1" selected="0">
            <x v="12"/>
          </reference>
        </references>
      </pivotArea>
    </chartFormat>
    <chartFormat chart="2" format="66" series="1">
      <pivotArea type="data" outline="0" fieldPosition="0">
        <references count="1">
          <reference field="9" count="1" selected="0">
            <x v="13"/>
          </reference>
        </references>
      </pivotArea>
    </chartFormat>
    <chartFormat chart="2" format="67" series="1">
      <pivotArea type="data" outline="0" fieldPosition="0">
        <references count="1">
          <reference field="9" count="1" selected="0">
            <x v="14"/>
          </reference>
        </references>
      </pivotArea>
    </chartFormat>
    <chartFormat chart="2" format="68" series="1">
      <pivotArea type="data" outline="0" fieldPosition="0">
        <references count="1">
          <reference field="9" count="1" selected="0">
            <x v="15"/>
          </reference>
        </references>
      </pivotArea>
    </chartFormat>
    <chartFormat chart="2" format="69" series="1">
      <pivotArea type="data" outline="0" fieldPosition="0">
        <references count="1">
          <reference field="9" count="1" selected="0">
            <x v="16"/>
          </reference>
        </references>
      </pivotArea>
    </chartFormat>
    <chartFormat chart="2" format="70" series="1">
      <pivotArea type="data" outline="0" fieldPosition="0">
        <references count="1">
          <reference field="9" count="1" selected="0">
            <x v="17"/>
          </reference>
        </references>
      </pivotArea>
    </chartFormat>
  </chartFormat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Articles" displayName="Articles" ref="A1:P44" totalsRowCount="1">
  <autoFilter ref="A1:P43">
    <filterColumn colId="0"/>
    <filterColumn colId="2"/>
    <filterColumn colId="3"/>
    <filterColumn colId="4"/>
    <filterColumn colId="5"/>
    <filterColumn colId="6"/>
    <filterColumn colId="7"/>
    <filterColumn colId="8"/>
    <filterColumn colId="10"/>
    <filterColumn colId="13"/>
    <filterColumn colId="14"/>
    <filterColumn colId="15"/>
  </autoFilter>
  <sortState ref="A2:J38">
    <sortCondition ref="A1:A38"/>
  </sortState>
  <tableColumns count="16">
    <tableColumn id="5" name="Key" totalsRowLabel="Total"/>
    <tableColumn id="1" name="Optimization method" dataDxfId="22" totalsRowDxfId="11"/>
    <tableColumn id="13" name="Methodology" dataDxfId="21" totalsRowDxfId="10"/>
    <tableColumn id="10" name="Demand forecast base" dataDxfId="20" totalsRowDxfId="9"/>
    <tableColumn id="9" name="Network size" dataDxfId="19" totalsRowDxfId="8"/>
    <tableColumn id="14" name="Data set" dataDxfId="18" totalsRowDxfId="7"/>
    <tableColumn id="11" name="Synchronization type" dataDxfId="17" totalsRowDxfId="6"/>
    <tableColumn id="12" name="MOE" dataDxfId="16" totalsRowDxfId="5"/>
    <tableColumn id="15" name="Simulator" dataDxfId="15" totalsRowDxfId="4"/>
    <tableColumn id="2" name="Year"/>
    <tableColumn id="16" name="Journal"/>
    <tableColumn id="3" name="Authors" dataDxfId="14" totalsRowDxfId="3"/>
    <tableColumn id="4" name="Title" totalsRowFunction="count" dataDxfId="13" totalsRowDxfId="2"/>
    <tableColumn id="6" name="Cited in" totalsRowDxfId="1"/>
    <tableColumn id="7" name="Importance" dataDxfId="12">
      <calculatedColumnFormula>COMMASEPCOUNT(Articles[[#This Row],[Cited in]])</calculatedColumnFormula>
    </tableColumn>
    <tableColumn id="8" name="Comments" totalsRowDxfId="0"/>
  </tableColumns>
  <tableStyleInfo name="TableStyleMedium10" showFirstColumn="1" showLastColumn="0" showRowStripes="1" showColumnStripes="0"/>
</table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1"/>
  <dimension ref="A1:P46"/>
  <sheetViews>
    <sheetView tabSelected="1" zoomScale="67" zoomScaleNormal="67" workbookViewId="0"/>
  </sheetViews>
  <sheetFormatPr defaultRowHeight="15"/>
  <cols>
    <col min="1" max="1" width="5.5703125" customWidth="1"/>
    <col min="2" max="2" width="22.85546875" customWidth="1"/>
    <col min="3" max="3" width="15" bestFit="1" customWidth="1"/>
    <col min="4" max="4" width="11.140625" customWidth="1"/>
    <col min="5" max="5" width="10.28515625" customWidth="1"/>
    <col min="6" max="6" width="13.85546875" customWidth="1"/>
    <col min="7" max="7" width="12.7109375" customWidth="1"/>
    <col min="8" max="8" width="14.5703125" customWidth="1"/>
    <col min="9" max="9" width="15" bestFit="1" customWidth="1"/>
    <col min="10" max="11" width="9.7109375" customWidth="1"/>
    <col min="12" max="12" width="32.5703125" bestFit="1" customWidth="1"/>
    <col min="13" max="13" width="44.42578125" bestFit="1" customWidth="1"/>
    <col min="14" max="14" width="5.28515625" customWidth="1"/>
    <col min="15" max="15" width="5.42578125" customWidth="1"/>
    <col min="16" max="16" width="29.85546875" customWidth="1"/>
    <col min="17" max="21" width="5" customWidth="1"/>
    <col min="22" max="22" width="10.85546875" bestFit="1" customWidth="1"/>
  </cols>
  <sheetData>
    <row r="1" spans="1:16">
      <c r="A1" t="s">
        <v>158</v>
      </c>
      <c r="B1" t="s">
        <v>106</v>
      </c>
      <c r="C1" t="s">
        <v>107</v>
      </c>
      <c r="D1" t="s">
        <v>115</v>
      </c>
      <c r="E1" t="s">
        <v>92</v>
      </c>
      <c r="F1" t="s">
        <v>98</v>
      </c>
      <c r="G1" t="s">
        <v>110</v>
      </c>
      <c r="H1" t="s">
        <v>95</v>
      </c>
      <c r="I1" t="s">
        <v>102</v>
      </c>
      <c r="J1" t="s">
        <v>0</v>
      </c>
      <c r="K1" t="s">
        <v>161</v>
      </c>
      <c r="L1" t="s">
        <v>2</v>
      </c>
      <c r="M1" t="s">
        <v>3</v>
      </c>
      <c r="N1" t="s">
        <v>68</v>
      </c>
      <c r="O1" t="s">
        <v>67</v>
      </c>
      <c r="P1" t="s">
        <v>86</v>
      </c>
    </row>
    <row r="2" spans="1:16" ht="57.75" customHeight="1">
      <c r="A2">
        <v>1</v>
      </c>
      <c r="B2" s="4" t="s">
        <v>101</v>
      </c>
      <c r="C2" s="4"/>
      <c r="D2" s="4" t="s">
        <v>93</v>
      </c>
      <c r="E2" s="4"/>
      <c r="F2" s="4"/>
      <c r="G2" s="4" t="s">
        <v>108</v>
      </c>
      <c r="H2" s="4" t="s">
        <v>100</v>
      </c>
      <c r="I2" s="4" t="s">
        <v>104</v>
      </c>
      <c r="J2">
        <v>2006</v>
      </c>
      <c r="L2" s="4" t="s">
        <v>6</v>
      </c>
      <c r="M2" s="1" t="s">
        <v>4</v>
      </c>
      <c r="O2" s="24" t="str">
        <f>COMMASEPCOUNT(Articles[[#This Row],[Cited in]])</f>
        <v/>
      </c>
      <c r="P2" s="26" t="s">
        <v>105</v>
      </c>
    </row>
    <row r="3" spans="1:16" ht="30">
      <c r="A3">
        <v>2</v>
      </c>
      <c r="B3" s="5" t="s">
        <v>5</v>
      </c>
      <c r="C3" s="5"/>
      <c r="D3" s="5"/>
      <c r="E3" s="5"/>
      <c r="F3" s="5"/>
      <c r="G3" s="5"/>
      <c r="H3" s="5"/>
      <c r="I3" s="5"/>
      <c r="J3" s="2">
        <v>2007</v>
      </c>
      <c r="K3" s="2"/>
      <c r="L3" s="5" t="s">
        <v>8</v>
      </c>
      <c r="M3" s="3" t="s">
        <v>7</v>
      </c>
      <c r="O3" s="24" t="str">
        <f>COMMASEPCOUNT(Articles[[#This Row],[Cited in]])</f>
        <v/>
      </c>
      <c r="P3" s="26"/>
    </row>
    <row r="4" spans="1:16" ht="30">
      <c r="A4">
        <v>3</v>
      </c>
      <c r="B4" s="5" t="s">
        <v>9</v>
      </c>
      <c r="C4" s="5"/>
      <c r="D4" s="5"/>
      <c r="E4" s="5"/>
      <c r="F4" s="5"/>
      <c r="G4" s="5"/>
      <c r="H4" s="5"/>
      <c r="I4" s="5"/>
      <c r="J4" s="2">
        <v>2007</v>
      </c>
      <c r="K4" s="2"/>
      <c r="L4" s="5" t="s">
        <v>10</v>
      </c>
      <c r="M4" s="3" t="s">
        <v>90</v>
      </c>
      <c r="O4" s="24" t="str">
        <f>COMMASEPCOUNT(Articles[[#This Row],[Cited in]])</f>
        <v/>
      </c>
      <c r="P4" s="26"/>
    </row>
    <row r="5" spans="1:16" ht="45">
      <c r="A5">
        <v>4</v>
      </c>
      <c r="B5" s="5" t="s">
        <v>5</v>
      </c>
      <c r="C5" s="5"/>
      <c r="D5" s="5"/>
      <c r="E5" s="5"/>
      <c r="F5" s="5"/>
      <c r="G5" s="5"/>
      <c r="H5" s="5"/>
      <c r="I5" s="5"/>
      <c r="J5" s="2">
        <v>2000</v>
      </c>
      <c r="K5" s="2"/>
      <c r="L5" s="5" t="s">
        <v>12</v>
      </c>
      <c r="M5" s="3" t="s">
        <v>11</v>
      </c>
      <c r="O5" s="24" t="str">
        <f>COMMASEPCOUNT(Articles[[#This Row],[Cited in]])</f>
        <v/>
      </c>
      <c r="P5" s="26" t="s">
        <v>87</v>
      </c>
    </row>
    <row r="6" spans="1:16" ht="30">
      <c r="A6" s="2">
        <v>5</v>
      </c>
      <c r="B6" s="5" t="s">
        <v>15</v>
      </c>
      <c r="C6" s="5"/>
      <c r="D6" s="5"/>
      <c r="E6" s="5"/>
      <c r="F6" s="5"/>
      <c r="G6" s="5"/>
      <c r="H6" s="5"/>
      <c r="I6" s="5"/>
      <c r="J6" s="2">
        <v>2004</v>
      </c>
      <c r="K6" s="2"/>
      <c r="L6" s="5" t="s">
        <v>14</v>
      </c>
      <c r="M6" s="3" t="s">
        <v>13</v>
      </c>
      <c r="O6" s="24" t="str">
        <f>COMMASEPCOUNT(Articles[[#This Row],[Cited in]])</f>
        <v/>
      </c>
      <c r="P6" s="26"/>
    </row>
    <row r="7" spans="1:16" ht="45">
      <c r="A7" s="2">
        <v>6</v>
      </c>
      <c r="B7" s="5" t="s">
        <v>15</v>
      </c>
      <c r="C7" s="5"/>
      <c r="D7" s="5"/>
      <c r="E7" s="5"/>
      <c r="F7" s="5"/>
      <c r="G7" s="5"/>
      <c r="H7" s="5"/>
      <c r="I7" s="5"/>
      <c r="J7" s="2">
        <v>2004</v>
      </c>
      <c r="K7" s="2"/>
      <c r="L7" s="5" t="s">
        <v>25</v>
      </c>
      <c r="M7" s="3" t="s">
        <v>16</v>
      </c>
      <c r="O7" s="24" t="str">
        <f>COMMASEPCOUNT(Articles[[#This Row],[Cited in]])</f>
        <v/>
      </c>
      <c r="P7" s="26" t="s">
        <v>89</v>
      </c>
    </row>
    <row r="8" spans="1:16" ht="45">
      <c r="A8" s="2">
        <v>7</v>
      </c>
      <c r="B8" s="5" t="s">
        <v>5</v>
      </c>
      <c r="C8" s="5"/>
      <c r="D8" s="5"/>
      <c r="E8" s="5"/>
      <c r="F8" s="5"/>
      <c r="G8" s="5"/>
      <c r="H8" s="5"/>
      <c r="I8" s="5"/>
      <c r="J8" s="2">
        <v>2002</v>
      </c>
      <c r="K8" s="2"/>
      <c r="L8" s="5" t="s">
        <v>18</v>
      </c>
      <c r="M8" s="3" t="s">
        <v>17</v>
      </c>
      <c r="O8" s="24" t="str">
        <f>COMMASEPCOUNT(Articles[[#This Row],[Cited in]])</f>
        <v/>
      </c>
      <c r="P8" s="26" t="s">
        <v>88</v>
      </c>
    </row>
    <row r="9" spans="1:16" ht="42.75" customHeight="1">
      <c r="A9" s="2">
        <v>8</v>
      </c>
      <c r="B9" s="5" t="s">
        <v>19</v>
      </c>
      <c r="C9" s="5"/>
      <c r="D9" s="5" t="s">
        <v>93</v>
      </c>
      <c r="E9" s="5"/>
      <c r="F9" s="5"/>
      <c r="G9" s="5"/>
      <c r="H9" s="5"/>
      <c r="I9" s="5"/>
      <c r="J9" s="2">
        <v>1996</v>
      </c>
      <c r="K9" s="2"/>
      <c r="L9" s="5" t="s">
        <v>21</v>
      </c>
      <c r="M9" s="3" t="s">
        <v>20</v>
      </c>
      <c r="O9" s="24" t="str">
        <f>COMMASEPCOUNT(Articles[[#This Row],[Cited in]])</f>
        <v/>
      </c>
      <c r="P9" s="26" t="s">
        <v>91</v>
      </c>
    </row>
    <row r="10" spans="1:16" ht="50.25" customHeight="1">
      <c r="A10" s="2">
        <v>9</v>
      </c>
      <c r="B10" s="5" t="s">
        <v>15</v>
      </c>
      <c r="C10" s="5" t="s">
        <v>96</v>
      </c>
      <c r="D10" s="5" t="s">
        <v>99</v>
      </c>
      <c r="E10" s="5">
        <v>9</v>
      </c>
      <c r="F10" s="5" t="s">
        <v>97</v>
      </c>
      <c r="G10" s="5" t="s">
        <v>109</v>
      </c>
      <c r="H10" s="5" t="s">
        <v>100</v>
      </c>
      <c r="I10" s="5" t="s">
        <v>103</v>
      </c>
      <c r="J10" s="2">
        <v>1991</v>
      </c>
      <c r="K10" s="2"/>
      <c r="L10" s="5" t="s">
        <v>23</v>
      </c>
      <c r="M10" s="3" t="s">
        <v>22</v>
      </c>
      <c r="N10">
        <v>6</v>
      </c>
      <c r="O10" s="24">
        <f>COMMASEPCOUNT(Articles[[#This Row],[Cited in]])</f>
        <v>1</v>
      </c>
      <c r="P10" s="26" t="s">
        <v>94</v>
      </c>
    </row>
    <row r="11" spans="1:16" ht="75">
      <c r="A11" s="2">
        <v>10</v>
      </c>
      <c r="B11" s="5" t="s">
        <v>114</v>
      </c>
      <c r="C11" s="5" t="s">
        <v>116</v>
      </c>
      <c r="D11" s="5" t="s">
        <v>99</v>
      </c>
      <c r="E11" s="5">
        <v>1</v>
      </c>
      <c r="F11" s="5" t="s">
        <v>119</v>
      </c>
      <c r="G11" s="5" t="s">
        <v>108</v>
      </c>
      <c r="H11" s="5" t="s">
        <v>100</v>
      </c>
      <c r="I11" s="5" t="s">
        <v>118</v>
      </c>
      <c r="J11" s="2">
        <v>1986</v>
      </c>
      <c r="K11" s="2"/>
      <c r="L11" s="5" t="s">
        <v>49</v>
      </c>
      <c r="M11" s="3" t="s">
        <v>24</v>
      </c>
      <c r="O11" s="24" t="str">
        <f>COMMASEPCOUNT(Articles[[#This Row],[Cited in]])</f>
        <v/>
      </c>
      <c r="P11" s="26" t="s">
        <v>117</v>
      </c>
    </row>
    <row r="12" spans="1:16" ht="45">
      <c r="A12" s="2">
        <v>11</v>
      </c>
      <c r="B12" s="5" t="s">
        <v>15</v>
      </c>
      <c r="C12" s="5" t="s">
        <v>113</v>
      </c>
      <c r="D12" s="5" t="s">
        <v>93</v>
      </c>
      <c r="E12" s="5">
        <v>16</v>
      </c>
      <c r="F12" s="5" t="s">
        <v>111</v>
      </c>
      <c r="G12" s="5"/>
      <c r="H12" s="5"/>
      <c r="I12" s="5" t="s">
        <v>112</v>
      </c>
      <c r="J12" s="2">
        <v>2006</v>
      </c>
      <c r="K12" s="2"/>
      <c r="L12" s="5" t="s">
        <v>27</v>
      </c>
      <c r="M12" s="3" t="s">
        <v>26</v>
      </c>
      <c r="O12" s="24" t="str">
        <f>COMMASEPCOUNT(Articles[[#This Row],[Cited in]])</f>
        <v/>
      </c>
      <c r="P12" s="26"/>
    </row>
    <row r="13" spans="1:16" ht="105">
      <c r="A13" s="2">
        <v>12</v>
      </c>
      <c r="B13" s="5" t="s">
        <v>19</v>
      </c>
      <c r="C13" s="5" t="s">
        <v>136</v>
      </c>
      <c r="D13" s="5" t="s">
        <v>93</v>
      </c>
      <c r="E13" s="5">
        <v>2</v>
      </c>
      <c r="F13" s="5" t="s">
        <v>137</v>
      </c>
      <c r="G13" s="5"/>
      <c r="H13" s="5" t="s">
        <v>139</v>
      </c>
      <c r="I13" s="5" t="s">
        <v>138</v>
      </c>
      <c r="J13" s="2">
        <v>2005</v>
      </c>
      <c r="K13" s="2"/>
      <c r="L13" s="5" t="s">
        <v>28</v>
      </c>
      <c r="M13" s="3" t="s">
        <v>29</v>
      </c>
      <c r="O13" s="24" t="str">
        <f>COMMASEPCOUNT(Articles[[#This Row],[Cited in]])</f>
        <v/>
      </c>
      <c r="P13" s="26" t="s">
        <v>140</v>
      </c>
    </row>
    <row r="14" spans="1:16" ht="60">
      <c r="A14" s="2">
        <v>13</v>
      </c>
      <c r="B14" s="5" t="s">
        <v>5</v>
      </c>
      <c r="C14" s="5"/>
      <c r="D14" s="5" t="s">
        <v>99</v>
      </c>
      <c r="E14" s="5">
        <v>16</v>
      </c>
      <c r="F14" s="5" t="s">
        <v>141</v>
      </c>
      <c r="G14" s="5"/>
      <c r="H14" s="5" t="s">
        <v>142</v>
      </c>
      <c r="I14" s="5" t="s">
        <v>112</v>
      </c>
      <c r="J14" s="2">
        <v>2004</v>
      </c>
      <c r="K14" s="2"/>
      <c r="L14" s="5" t="s">
        <v>31</v>
      </c>
      <c r="M14" s="3" t="s">
        <v>30</v>
      </c>
      <c r="O14" s="24" t="str">
        <f>COMMASEPCOUNT(Articles[[#This Row],[Cited in]])</f>
        <v/>
      </c>
      <c r="P14" s="26" t="s">
        <v>146</v>
      </c>
    </row>
    <row r="15" spans="1:16" ht="90">
      <c r="A15" s="2">
        <v>14</v>
      </c>
      <c r="B15" s="5" t="s">
        <v>34</v>
      </c>
      <c r="C15" s="5" t="s">
        <v>149</v>
      </c>
      <c r="D15" s="5" t="s">
        <v>148</v>
      </c>
      <c r="E15" s="5" t="s">
        <v>144</v>
      </c>
      <c r="F15" s="5" t="s">
        <v>145</v>
      </c>
      <c r="G15" s="5"/>
      <c r="H15" s="5" t="s">
        <v>100</v>
      </c>
      <c r="I15" s="5" t="s">
        <v>143</v>
      </c>
      <c r="J15" s="2">
        <v>2004</v>
      </c>
      <c r="K15" s="2"/>
      <c r="L15" s="5" t="s">
        <v>33</v>
      </c>
      <c r="M15" s="3" t="s">
        <v>32</v>
      </c>
      <c r="O15" s="24" t="str">
        <f>COMMASEPCOUNT(Articles[[#This Row],[Cited in]])</f>
        <v/>
      </c>
      <c r="P15" s="26" t="s">
        <v>147</v>
      </c>
    </row>
    <row r="16" spans="1:16" ht="75">
      <c r="A16" s="2">
        <v>15</v>
      </c>
      <c r="B16" s="5" t="s">
        <v>37</v>
      </c>
      <c r="C16" s="5"/>
      <c r="D16" s="5" t="s">
        <v>93</v>
      </c>
      <c r="E16" s="5">
        <v>10</v>
      </c>
      <c r="F16" s="5" t="s">
        <v>151</v>
      </c>
      <c r="G16" s="5"/>
      <c r="H16" s="5" t="s">
        <v>100</v>
      </c>
      <c r="I16" s="5"/>
      <c r="J16" s="2">
        <v>2001</v>
      </c>
      <c r="K16" s="2"/>
      <c r="L16" s="5" t="s">
        <v>36</v>
      </c>
      <c r="M16" s="3" t="s">
        <v>35</v>
      </c>
      <c r="O16" s="24" t="str">
        <f>COMMASEPCOUNT(Articles[[#This Row],[Cited in]])</f>
        <v/>
      </c>
      <c r="P16" s="26" t="s">
        <v>150</v>
      </c>
    </row>
    <row r="17" spans="1:16">
      <c r="A17" s="2">
        <v>16</v>
      </c>
      <c r="B17" s="5" t="s">
        <v>19</v>
      </c>
      <c r="C17" s="5"/>
      <c r="D17" s="5"/>
      <c r="E17" s="5"/>
      <c r="F17" s="5"/>
      <c r="G17" s="5"/>
      <c r="H17" s="5"/>
      <c r="I17" s="5"/>
      <c r="J17" s="2">
        <v>1968</v>
      </c>
      <c r="K17" s="2"/>
      <c r="L17" s="5" t="s">
        <v>39</v>
      </c>
      <c r="M17" s="3" t="s">
        <v>38</v>
      </c>
      <c r="O17" s="24" t="str">
        <f>COMMASEPCOUNT(Articles[[#This Row],[Cited in]])</f>
        <v/>
      </c>
      <c r="P17" s="26"/>
    </row>
    <row r="18" spans="1:16" ht="30">
      <c r="A18" s="2">
        <v>17</v>
      </c>
      <c r="B18" s="5" t="s">
        <v>9</v>
      </c>
      <c r="C18" s="5"/>
      <c r="D18" s="5"/>
      <c r="E18" s="5"/>
      <c r="F18" s="5"/>
      <c r="G18" s="5"/>
      <c r="H18" s="5"/>
      <c r="I18" s="5"/>
      <c r="J18" s="2">
        <v>2004</v>
      </c>
      <c r="K18" s="2"/>
      <c r="L18" s="5" t="s">
        <v>44</v>
      </c>
      <c r="M18" s="3" t="s">
        <v>43</v>
      </c>
      <c r="O18" s="24" t="str">
        <f>COMMASEPCOUNT(Articles[[#This Row],[Cited in]])</f>
        <v/>
      </c>
      <c r="P18" s="26"/>
    </row>
    <row r="19" spans="1:16">
      <c r="A19" s="2">
        <v>18</v>
      </c>
      <c r="B19" s="5" t="s">
        <v>9</v>
      </c>
      <c r="C19" s="5"/>
      <c r="D19" s="5"/>
      <c r="E19" s="5"/>
      <c r="F19" s="5"/>
      <c r="G19" s="5"/>
      <c r="H19" s="5"/>
      <c r="I19" s="5"/>
      <c r="J19" s="2">
        <v>2001</v>
      </c>
      <c r="K19" s="2"/>
      <c r="L19" s="5" t="s">
        <v>46</v>
      </c>
      <c r="M19" s="3" t="s">
        <v>45</v>
      </c>
      <c r="O19" s="24" t="str">
        <f>COMMASEPCOUNT(Articles[[#This Row],[Cited in]])</f>
        <v/>
      </c>
      <c r="P19" s="26"/>
    </row>
    <row r="20" spans="1:16" ht="30">
      <c r="A20" s="2">
        <v>19</v>
      </c>
      <c r="B20" s="5" t="s">
        <v>9</v>
      </c>
      <c r="C20" s="5"/>
      <c r="D20" s="5"/>
      <c r="E20" s="5"/>
      <c r="F20" s="5"/>
      <c r="G20" s="5"/>
      <c r="H20" s="5"/>
      <c r="I20" s="5"/>
      <c r="J20" s="2">
        <v>2001</v>
      </c>
      <c r="K20" s="2"/>
      <c r="L20" s="5" t="s">
        <v>47</v>
      </c>
      <c r="M20" s="3" t="s">
        <v>48</v>
      </c>
      <c r="O20" s="24" t="str">
        <f>COMMASEPCOUNT(Articles[[#This Row],[Cited in]])</f>
        <v/>
      </c>
      <c r="P20" s="26"/>
    </row>
    <row r="21" spans="1:16" ht="75">
      <c r="A21">
        <v>20</v>
      </c>
      <c r="B21" s="4" t="s">
        <v>129</v>
      </c>
      <c r="C21" s="4"/>
      <c r="D21" s="4" t="s">
        <v>99</v>
      </c>
      <c r="E21" s="4">
        <v>2</v>
      </c>
      <c r="F21" s="4" t="s">
        <v>152</v>
      </c>
      <c r="G21" s="4" t="s">
        <v>153</v>
      </c>
      <c r="H21" s="4" t="s">
        <v>142</v>
      </c>
      <c r="I21" s="4" t="s">
        <v>135</v>
      </c>
      <c r="J21">
        <v>2007</v>
      </c>
      <c r="K21" t="s">
        <v>162</v>
      </c>
      <c r="L21" s="4" t="s">
        <v>51</v>
      </c>
      <c r="M21" s="1" t="s">
        <v>50</v>
      </c>
      <c r="O21" s="24" t="str">
        <f>COMMASEPCOUNT(Articles[[#This Row],[Cited in]])</f>
        <v/>
      </c>
      <c r="P21" s="26" t="s">
        <v>154</v>
      </c>
    </row>
    <row r="22" spans="1:16" ht="116.25" customHeight="1">
      <c r="A22">
        <v>21</v>
      </c>
      <c r="B22" s="4" t="s">
        <v>129</v>
      </c>
      <c r="C22" s="4"/>
      <c r="D22" s="4" t="s">
        <v>99</v>
      </c>
      <c r="E22" s="4">
        <v>6</v>
      </c>
      <c r="F22" s="4" t="s">
        <v>169</v>
      </c>
      <c r="G22" s="4" t="s">
        <v>153</v>
      </c>
      <c r="H22" s="4" t="s">
        <v>167</v>
      </c>
      <c r="I22" s="4" t="s">
        <v>168</v>
      </c>
      <c r="J22">
        <v>2007</v>
      </c>
      <c r="K22" t="s">
        <v>163</v>
      </c>
      <c r="L22" s="4" t="s">
        <v>53</v>
      </c>
      <c r="M22" s="1" t="s">
        <v>52</v>
      </c>
      <c r="O22" s="24" t="str">
        <f>COMMASEPCOUNT(Articles[[#This Row],[Cited in]])</f>
        <v/>
      </c>
      <c r="P22" s="26" t="s">
        <v>181</v>
      </c>
    </row>
    <row r="23" spans="1:16" ht="105">
      <c r="A23">
        <v>22</v>
      </c>
      <c r="B23" s="4" t="s">
        <v>129</v>
      </c>
      <c r="C23" s="4" t="s">
        <v>171</v>
      </c>
      <c r="D23" s="4" t="s">
        <v>170</v>
      </c>
      <c r="E23" s="4">
        <v>24</v>
      </c>
      <c r="F23" s="4" t="s">
        <v>172</v>
      </c>
      <c r="G23" s="4" t="s">
        <v>109</v>
      </c>
      <c r="H23" s="4" t="s">
        <v>180</v>
      </c>
      <c r="I23" s="4" t="s">
        <v>135</v>
      </c>
      <c r="J23">
        <v>2007</v>
      </c>
      <c r="L23" s="4" t="s">
        <v>55</v>
      </c>
      <c r="M23" s="1" t="s">
        <v>54</v>
      </c>
      <c r="O23" s="24" t="str">
        <f>COMMASEPCOUNT(Articles[[#This Row],[Cited in]])</f>
        <v/>
      </c>
      <c r="P23" s="26" t="s">
        <v>173</v>
      </c>
    </row>
    <row r="24" spans="1:16">
      <c r="A24">
        <v>23</v>
      </c>
      <c r="B24" s="4"/>
      <c r="C24" s="4"/>
      <c r="D24" s="4"/>
      <c r="E24" s="4"/>
      <c r="F24" s="4"/>
      <c r="G24" s="4"/>
      <c r="H24" s="4"/>
      <c r="I24" s="4"/>
      <c r="L24" s="4"/>
      <c r="M24" s="1"/>
      <c r="O24" s="24"/>
      <c r="P24" s="26"/>
    </row>
    <row r="25" spans="1:16">
      <c r="A25">
        <v>24</v>
      </c>
      <c r="B25" s="4"/>
      <c r="C25" s="4"/>
      <c r="D25" s="4"/>
      <c r="E25" s="4"/>
      <c r="F25" s="4"/>
      <c r="G25" s="4"/>
      <c r="H25" s="4"/>
      <c r="I25" s="4"/>
      <c r="L25" s="4"/>
      <c r="M25" s="1"/>
      <c r="O25" s="24"/>
      <c r="P25" s="26"/>
    </row>
    <row r="26" spans="1:16" ht="210">
      <c r="A26" s="2">
        <v>25</v>
      </c>
      <c r="B26" s="5" t="s">
        <v>58</v>
      </c>
      <c r="C26" s="5"/>
      <c r="D26" s="5" t="s">
        <v>186</v>
      </c>
      <c r="E26" s="5">
        <v>1</v>
      </c>
      <c r="F26" s="5" t="s">
        <v>187</v>
      </c>
      <c r="G26" s="5" t="s">
        <v>188</v>
      </c>
      <c r="H26" s="5" t="s">
        <v>183</v>
      </c>
      <c r="I26" s="5" t="s">
        <v>182</v>
      </c>
      <c r="J26" s="2">
        <v>2006</v>
      </c>
      <c r="K26" s="3" t="s">
        <v>184</v>
      </c>
      <c r="L26" s="5" t="s">
        <v>57</v>
      </c>
      <c r="M26" s="3" t="s">
        <v>56</v>
      </c>
      <c r="O26" s="24" t="str">
        <f>COMMASEPCOUNT(Articles[[#This Row],[Cited in]])</f>
        <v/>
      </c>
      <c r="P26" s="26" t="s">
        <v>185</v>
      </c>
    </row>
    <row r="27" spans="1:16" ht="45">
      <c r="A27">
        <v>26</v>
      </c>
      <c r="B27" s="4" t="s">
        <v>5</v>
      </c>
      <c r="C27" s="4"/>
      <c r="D27" s="4"/>
      <c r="E27" s="4"/>
      <c r="F27" s="4"/>
      <c r="G27" s="4"/>
      <c r="H27" s="4"/>
      <c r="I27" s="4"/>
      <c r="J27">
        <v>2006</v>
      </c>
      <c r="L27" s="4" t="s">
        <v>60</v>
      </c>
      <c r="M27" s="1" t="s">
        <v>59</v>
      </c>
      <c r="O27" s="24" t="str">
        <f>COMMASEPCOUNT(Articles[[#This Row],[Cited in]])</f>
        <v/>
      </c>
      <c r="P27" s="26"/>
    </row>
    <row r="28" spans="1:16" ht="45">
      <c r="A28">
        <v>27</v>
      </c>
      <c r="B28" s="4" t="s">
        <v>5</v>
      </c>
      <c r="C28" s="4"/>
      <c r="D28" s="4"/>
      <c r="E28" s="4"/>
      <c r="F28" s="4"/>
      <c r="G28" s="4"/>
      <c r="H28" s="4"/>
      <c r="I28" s="4"/>
      <c r="J28">
        <v>2004</v>
      </c>
      <c r="L28" s="4" t="s">
        <v>62</v>
      </c>
      <c r="M28" s="1" t="s">
        <v>61</v>
      </c>
      <c r="O28" s="24" t="str">
        <f>COMMASEPCOUNT(Articles[[#This Row],[Cited in]])</f>
        <v/>
      </c>
      <c r="P28" s="26"/>
    </row>
    <row r="29" spans="1:16" ht="45">
      <c r="A29">
        <v>28</v>
      </c>
      <c r="B29" s="4" t="s">
        <v>15</v>
      </c>
      <c r="C29" s="4"/>
      <c r="D29" s="4"/>
      <c r="E29" s="4"/>
      <c r="F29" s="4"/>
      <c r="G29" s="4"/>
      <c r="H29" s="4"/>
      <c r="I29" s="4"/>
      <c r="J29">
        <v>1975</v>
      </c>
      <c r="L29" s="4" t="s">
        <v>64</v>
      </c>
      <c r="M29" s="1" t="s">
        <v>63</v>
      </c>
      <c r="O29" s="24" t="str">
        <f>COMMASEPCOUNT(Articles[[#This Row],[Cited in]])</f>
        <v/>
      </c>
      <c r="P29" s="26"/>
    </row>
    <row r="30" spans="1:16" ht="30">
      <c r="A30">
        <v>29</v>
      </c>
      <c r="B30" s="4" t="s">
        <v>58</v>
      </c>
      <c r="C30" s="4"/>
      <c r="D30" s="4"/>
      <c r="E30" s="4"/>
      <c r="F30" s="4"/>
      <c r="G30" s="4"/>
      <c r="H30" s="4"/>
      <c r="I30" s="4"/>
      <c r="J30">
        <v>2000</v>
      </c>
      <c r="L30" s="4" t="s">
        <v>66</v>
      </c>
      <c r="M30" s="1" t="s">
        <v>65</v>
      </c>
      <c r="N30">
        <v>2</v>
      </c>
      <c r="O30" s="24">
        <f>COMMASEPCOUNT(Articles[[#This Row],[Cited in]])</f>
        <v>1</v>
      </c>
      <c r="P30" s="26"/>
    </row>
    <row r="31" spans="1:16" ht="30">
      <c r="A31">
        <v>30</v>
      </c>
      <c r="B31" s="4" t="s">
        <v>5</v>
      </c>
      <c r="C31" s="4"/>
      <c r="D31" s="4"/>
      <c r="E31" s="4"/>
      <c r="F31" s="4"/>
      <c r="G31" s="4"/>
      <c r="H31" s="4"/>
      <c r="I31" s="4"/>
      <c r="J31">
        <v>2005</v>
      </c>
      <c r="L31" s="4" t="s">
        <v>70</v>
      </c>
      <c r="M31" s="1" t="s">
        <v>69</v>
      </c>
      <c r="N31">
        <v>2</v>
      </c>
      <c r="O31" s="24">
        <f>COMMASEPCOUNT(Articles[[#This Row],[Cited in]])</f>
        <v>1</v>
      </c>
      <c r="P31" s="26"/>
    </row>
    <row r="32" spans="1:16">
      <c r="A32">
        <v>31</v>
      </c>
      <c r="B32" s="4" t="s">
        <v>5</v>
      </c>
      <c r="C32" s="4"/>
      <c r="D32" s="4"/>
      <c r="E32" s="4"/>
      <c r="F32" s="4"/>
      <c r="G32" s="4"/>
      <c r="H32" s="4"/>
      <c r="I32" s="4"/>
      <c r="J32">
        <v>2004</v>
      </c>
      <c r="L32" s="4" t="s">
        <v>72</v>
      </c>
      <c r="M32" s="1" t="s">
        <v>71</v>
      </c>
      <c r="N32">
        <v>2</v>
      </c>
      <c r="O32" s="24">
        <f>COMMASEPCOUNT(Articles[[#This Row],[Cited in]])</f>
        <v>1</v>
      </c>
      <c r="P32" s="26"/>
    </row>
    <row r="33" spans="1:16">
      <c r="A33" s="2">
        <v>32</v>
      </c>
      <c r="B33" s="5" t="s">
        <v>73</v>
      </c>
      <c r="C33" s="5"/>
      <c r="D33" s="5"/>
      <c r="E33" s="5"/>
      <c r="F33" s="5"/>
      <c r="G33" s="5"/>
      <c r="H33" s="5"/>
      <c r="I33" s="5"/>
      <c r="J33" s="2">
        <v>1977</v>
      </c>
      <c r="K33" s="2"/>
      <c r="L33" s="5" t="s">
        <v>75</v>
      </c>
      <c r="M33" s="3" t="s">
        <v>74</v>
      </c>
      <c r="N33">
        <v>2</v>
      </c>
      <c r="O33" s="24">
        <f>COMMASEPCOUNT(Articles[[#This Row],[Cited in]])</f>
        <v>1</v>
      </c>
      <c r="P33" s="26"/>
    </row>
    <row r="34" spans="1:16" ht="45">
      <c r="A34">
        <v>33</v>
      </c>
      <c r="B34" s="4" t="s">
        <v>5</v>
      </c>
      <c r="C34" s="4"/>
      <c r="D34" s="4"/>
      <c r="E34" s="4"/>
      <c r="F34" s="4"/>
      <c r="G34" s="4"/>
      <c r="H34" s="4"/>
      <c r="I34" s="4"/>
      <c r="J34">
        <v>2004</v>
      </c>
      <c r="L34" s="4" t="s">
        <v>76</v>
      </c>
      <c r="M34" s="1" t="s">
        <v>77</v>
      </c>
      <c r="N34" t="s">
        <v>189</v>
      </c>
      <c r="O34" s="24">
        <f>COMMASEPCOUNT(Articles[[#This Row],[Cited in]])</f>
        <v>3</v>
      </c>
      <c r="P34" s="26"/>
    </row>
    <row r="35" spans="1:16" ht="30">
      <c r="A35" s="2">
        <v>34</v>
      </c>
      <c r="B35" s="5" t="s">
        <v>79</v>
      </c>
      <c r="C35" s="5"/>
      <c r="D35" s="5"/>
      <c r="E35" s="5"/>
      <c r="F35" s="5"/>
      <c r="G35" s="5"/>
      <c r="H35" s="5"/>
      <c r="I35" s="5"/>
      <c r="J35" s="2">
        <v>1999</v>
      </c>
      <c r="K35" s="2"/>
      <c r="L35" s="5" t="s">
        <v>55</v>
      </c>
      <c r="M35" s="3" t="s">
        <v>78</v>
      </c>
      <c r="N35" s="28" t="s">
        <v>176</v>
      </c>
      <c r="O35" s="25">
        <f>COMMASEPCOUNT(Articles[[#This Row],[Cited in]])</f>
        <v>3</v>
      </c>
      <c r="P35" s="26"/>
    </row>
    <row r="36" spans="1:16" ht="30">
      <c r="A36">
        <v>35</v>
      </c>
      <c r="B36" s="4" t="s">
        <v>5</v>
      </c>
      <c r="C36" s="4"/>
      <c r="D36" s="4"/>
      <c r="E36" s="4"/>
      <c r="F36" s="4"/>
      <c r="G36" s="4"/>
      <c r="H36" s="4"/>
      <c r="I36" s="4"/>
      <c r="J36">
        <v>2003</v>
      </c>
      <c r="L36" s="4" t="s">
        <v>80</v>
      </c>
      <c r="M36" s="1" t="s">
        <v>81</v>
      </c>
      <c r="O36" s="24" t="str">
        <f>COMMASEPCOUNT(Articles[[#This Row],[Cited in]])</f>
        <v/>
      </c>
      <c r="P36" s="26"/>
    </row>
    <row r="37" spans="1:16" ht="45">
      <c r="A37">
        <v>36</v>
      </c>
      <c r="B37" s="4" t="s">
        <v>15</v>
      </c>
      <c r="C37" s="4"/>
      <c r="D37" s="4"/>
      <c r="E37" s="4"/>
      <c r="F37" s="4"/>
      <c r="G37" s="4"/>
      <c r="H37" s="4"/>
      <c r="I37" s="4"/>
      <c r="J37">
        <v>1995</v>
      </c>
      <c r="L37" s="4" t="s">
        <v>82</v>
      </c>
      <c r="M37" s="1" t="s">
        <v>83</v>
      </c>
      <c r="N37">
        <v>5</v>
      </c>
      <c r="O37" s="24">
        <f>COMMASEPCOUNT(Articles[[#This Row],[Cited in]])</f>
        <v>1</v>
      </c>
      <c r="P37" s="26"/>
    </row>
    <row r="38" spans="1:16" ht="30">
      <c r="A38" s="2">
        <v>37</v>
      </c>
      <c r="B38" s="5" t="s">
        <v>15</v>
      </c>
      <c r="C38" s="5"/>
      <c r="D38" s="5"/>
      <c r="E38" s="5"/>
      <c r="F38" s="5"/>
      <c r="G38" s="5"/>
      <c r="H38" s="5"/>
      <c r="I38" s="5"/>
      <c r="J38" s="2">
        <v>2002</v>
      </c>
      <c r="K38" s="2"/>
      <c r="L38" s="5" t="s">
        <v>84</v>
      </c>
      <c r="M38" s="3" t="s">
        <v>85</v>
      </c>
      <c r="N38" s="2">
        <v>6</v>
      </c>
      <c r="O38" s="25">
        <f>COMMASEPCOUNT(Articles[[#This Row],[Cited in]])</f>
        <v>1</v>
      </c>
      <c r="P38" s="26"/>
    </row>
    <row r="39" spans="1:16">
      <c r="A39" s="2" t="s">
        <v>160</v>
      </c>
      <c r="B39" s="5"/>
      <c r="C39" s="5"/>
      <c r="D39" s="5" t="s">
        <v>99</v>
      </c>
      <c r="E39" s="5"/>
      <c r="F39" s="5"/>
      <c r="G39" s="5"/>
      <c r="H39" s="5"/>
      <c r="I39" s="5"/>
      <c r="J39" s="2">
        <v>1958</v>
      </c>
      <c r="K39" s="2" t="s">
        <v>166</v>
      </c>
      <c r="L39" s="5" t="s">
        <v>120</v>
      </c>
      <c r="M39" s="3" t="s">
        <v>121</v>
      </c>
      <c r="N39" s="2" t="s">
        <v>124</v>
      </c>
      <c r="O39" s="25">
        <f>COMMASEPCOUNT(Articles[[#This Row],[Cited in]])</f>
        <v>3</v>
      </c>
      <c r="P39" s="26"/>
    </row>
    <row r="40" spans="1:16" ht="75">
      <c r="A40" s="2">
        <v>38</v>
      </c>
      <c r="B40" s="5" t="s">
        <v>129</v>
      </c>
      <c r="C40" s="5" t="s">
        <v>127</v>
      </c>
      <c r="D40" s="5" t="s">
        <v>93</v>
      </c>
      <c r="E40" s="5">
        <v>1</v>
      </c>
      <c r="F40" s="5" t="s">
        <v>125</v>
      </c>
      <c r="G40" s="5" t="s">
        <v>108</v>
      </c>
      <c r="H40" s="5" t="s">
        <v>100</v>
      </c>
      <c r="I40" s="5" t="s">
        <v>126</v>
      </c>
      <c r="J40" s="2">
        <v>2007</v>
      </c>
      <c r="K40" s="2"/>
      <c r="L40" s="5" t="s">
        <v>123</v>
      </c>
      <c r="M40" s="3" t="s">
        <v>122</v>
      </c>
      <c r="N40" s="2"/>
      <c r="O40" s="25" t="str">
        <f>COMMASEPCOUNT(Articles[[#This Row],[Cited in]])</f>
        <v/>
      </c>
      <c r="P40" s="26" t="s">
        <v>128</v>
      </c>
    </row>
    <row r="41" spans="1:16" ht="45">
      <c r="A41" s="2">
        <v>39</v>
      </c>
      <c r="B41" s="5" t="s">
        <v>130</v>
      </c>
      <c r="C41" s="5" t="s">
        <v>133</v>
      </c>
      <c r="D41" s="5" t="s">
        <v>93</v>
      </c>
      <c r="E41" s="5">
        <v>1</v>
      </c>
      <c r="F41" s="5" t="s">
        <v>134</v>
      </c>
      <c r="G41" s="5"/>
      <c r="H41" s="5"/>
      <c r="I41" s="5" t="s">
        <v>135</v>
      </c>
      <c r="J41" s="2">
        <v>2006</v>
      </c>
      <c r="K41" s="2" t="s">
        <v>165</v>
      </c>
      <c r="L41" s="5" t="s">
        <v>131</v>
      </c>
      <c r="M41" s="3" t="s">
        <v>132</v>
      </c>
      <c r="N41" s="2"/>
      <c r="O41" s="25" t="str">
        <f>COMMASEPCOUNT(Articles[[#This Row],[Cited in]])</f>
        <v/>
      </c>
      <c r="P41" s="26"/>
    </row>
    <row r="42" spans="1:16" ht="90">
      <c r="A42" s="2" t="s">
        <v>159</v>
      </c>
      <c r="B42" s="5"/>
      <c r="C42" s="5"/>
      <c r="D42" s="5"/>
      <c r="E42" s="5"/>
      <c r="F42" s="5"/>
      <c r="G42" s="5"/>
      <c r="H42" s="5"/>
      <c r="I42" s="5"/>
      <c r="J42" s="2">
        <v>1952</v>
      </c>
      <c r="K42" s="5" t="s">
        <v>164</v>
      </c>
      <c r="L42" s="5" t="s">
        <v>155</v>
      </c>
      <c r="M42" s="3" t="s">
        <v>156</v>
      </c>
      <c r="N42" s="2">
        <v>20</v>
      </c>
      <c r="O42" s="25">
        <f>COMMASEPCOUNT(Articles[[#This Row],[Cited in]])</f>
        <v>1</v>
      </c>
      <c r="P42" s="26" t="s">
        <v>157</v>
      </c>
    </row>
    <row r="43" spans="1:16" ht="45">
      <c r="A43" s="2">
        <v>40</v>
      </c>
      <c r="B43" s="5" t="s">
        <v>129</v>
      </c>
      <c r="C43" s="5"/>
      <c r="D43" s="5" t="s">
        <v>99</v>
      </c>
      <c r="E43" s="5"/>
      <c r="F43" s="5"/>
      <c r="G43" s="5"/>
      <c r="H43" s="5"/>
      <c r="I43" s="5"/>
      <c r="J43" s="2">
        <v>2004</v>
      </c>
      <c r="K43" s="5" t="s">
        <v>177</v>
      </c>
      <c r="L43" s="5" t="s">
        <v>178</v>
      </c>
      <c r="M43" t="s">
        <v>179</v>
      </c>
      <c r="N43" s="2">
        <v>22</v>
      </c>
      <c r="O43" s="25">
        <f>COMMASEPCOUNT(Articles[[#This Row],[Cited in]])</f>
        <v>1</v>
      </c>
      <c r="P43" s="26"/>
    </row>
    <row r="44" spans="1:16">
      <c r="A44" t="s">
        <v>41</v>
      </c>
      <c r="B44" s="4"/>
      <c r="C44" s="4"/>
      <c r="D44" s="4"/>
      <c r="E44" s="4"/>
      <c r="F44" s="4"/>
      <c r="G44" s="4"/>
      <c r="H44" s="4"/>
      <c r="I44" s="4"/>
      <c r="L44" s="4"/>
      <c r="M44" s="4">
        <f>SUBTOTAL(103,[Title])</f>
        <v>40</v>
      </c>
      <c r="N44" s="4"/>
      <c r="P44" s="4"/>
    </row>
    <row r="45" spans="1:16">
      <c r="B45" s="4"/>
      <c r="C45" s="4"/>
      <c r="D45" s="4"/>
      <c r="E45" s="4"/>
      <c r="F45" s="4"/>
      <c r="G45" s="4"/>
      <c r="H45" s="4"/>
      <c r="I45" s="4"/>
      <c r="L45" s="4"/>
      <c r="M45" s="1"/>
      <c r="O45" s="24"/>
      <c r="P45" s="26"/>
    </row>
    <row r="46" spans="1:16">
      <c r="A46" s="2"/>
      <c r="B46" s="5"/>
      <c r="C46" s="5"/>
      <c r="D46" s="5"/>
      <c r="E46" s="5"/>
      <c r="F46" s="5"/>
      <c r="G46" s="5"/>
      <c r="H46" s="5"/>
      <c r="I46" s="5"/>
      <c r="J46" s="2"/>
      <c r="K46" s="2"/>
      <c r="L46" s="5"/>
      <c r="M46" s="3"/>
      <c r="N46" s="2"/>
      <c r="O46" s="25"/>
      <c r="P46" s="27"/>
    </row>
  </sheetData>
  <pageMargins left="0.7" right="0.7" top="0.75" bottom="0.75" header="0.3" footer="0.3"/>
  <pageSetup paperSize="9" scale="71" orientation="landscape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2"/>
  <dimension ref="A3:T19"/>
  <sheetViews>
    <sheetView workbookViewId="0">
      <selection activeCell="B4" sqref="B4"/>
    </sheetView>
  </sheetViews>
  <sheetFormatPr defaultRowHeight="15"/>
  <cols>
    <col min="1" max="1" width="32.140625" bestFit="1" customWidth="1"/>
    <col min="2" max="2" width="17.7109375" bestFit="1" customWidth="1"/>
    <col min="3" max="19" width="5" bestFit="1" customWidth="1"/>
    <col min="20" max="20" width="16" bestFit="1" customWidth="1"/>
  </cols>
  <sheetData>
    <row r="3" spans="1:20">
      <c r="A3" s="9" t="s">
        <v>175</v>
      </c>
      <c r="B3" s="9" t="s">
        <v>40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8"/>
    </row>
    <row r="4" spans="1:20">
      <c r="A4" s="9" t="s">
        <v>1</v>
      </c>
      <c r="B4" s="6">
        <v>1952</v>
      </c>
      <c r="C4" s="10">
        <v>1958</v>
      </c>
      <c r="D4" s="10">
        <v>1968</v>
      </c>
      <c r="E4" s="10">
        <v>1975</v>
      </c>
      <c r="F4" s="10">
        <v>1977</v>
      </c>
      <c r="G4" s="10">
        <v>1986</v>
      </c>
      <c r="H4" s="10">
        <v>1991</v>
      </c>
      <c r="I4" s="10">
        <v>1995</v>
      </c>
      <c r="J4" s="10">
        <v>1996</v>
      </c>
      <c r="K4" s="10">
        <v>1999</v>
      </c>
      <c r="L4" s="10">
        <v>2000</v>
      </c>
      <c r="M4" s="10">
        <v>2001</v>
      </c>
      <c r="N4" s="10">
        <v>2002</v>
      </c>
      <c r="O4" s="10">
        <v>2003</v>
      </c>
      <c r="P4" s="10">
        <v>2004</v>
      </c>
      <c r="Q4" s="10">
        <v>2005</v>
      </c>
      <c r="R4" s="10">
        <v>2006</v>
      </c>
      <c r="S4" s="10">
        <v>2007</v>
      </c>
      <c r="T4" s="11" t="s">
        <v>42</v>
      </c>
    </row>
    <row r="5" spans="1:20">
      <c r="A5" s="12" t="s">
        <v>9</v>
      </c>
      <c r="B5" s="13"/>
      <c r="C5" s="14"/>
      <c r="D5" s="14"/>
      <c r="E5" s="14"/>
      <c r="F5" s="14"/>
      <c r="G5" s="14"/>
      <c r="H5" s="14"/>
      <c r="I5" s="14"/>
      <c r="J5" s="14"/>
      <c r="K5" s="14"/>
      <c r="L5" s="14"/>
      <c r="M5" s="14">
        <v>2</v>
      </c>
      <c r="N5" s="14"/>
      <c r="O5" s="14"/>
      <c r="P5" s="14">
        <v>1</v>
      </c>
      <c r="Q5" s="14"/>
      <c r="R5" s="14"/>
      <c r="S5" s="14">
        <v>1</v>
      </c>
      <c r="T5" s="15">
        <v>4</v>
      </c>
    </row>
    <row r="6" spans="1:20">
      <c r="A6" s="16" t="s">
        <v>130</v>
      </c>
      <c r="B6" s="17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>
        <v>1</v>
      </c>
      <c r="S6" s="18"/>
      <c r="T6" s="19">
        <v>1</v>
      </c>
    </row>
    <row r="7" spans="1:20">
      <c r="A7" s="16" t="s">
        <v>19</v>
      </c>
      <c r="B7" s="17"/>
      <c r="C7" s="18"/>
      <c r="D7" s="18">
        <v>1</v>
      </c>
      <c r="E7" s="18"/>
      <c r="F7" s="18"/>
      <c r="G7" s="18"/>
      <c r="H7" s="18"/>
      <c r="I7" s="18"/>
      <c r="J7" s="18">
        <v>1</v>
      </c>
      <c r="K7" s="18"/>
      <c r="L7" s="18"/>
      <c r="M7" s="18"/>
      <c r="N7" s="18"/>
      <c r="O7" s="18"/>
      <c r="P7" s="18"/>
      <c r="Q7" s="18">
        <v>1</v>
      </c>
      <c r="R7" s="18"/>
      <c r="S7" s="18"/>
      <c r="T7" s="19">
        <v>3</v>
      </c>
    </row>
    <row r="8" spans="1:20">
      <c r="A8" s="16" t="s">
        <v>5</v>
      </c>
      <c r="B8" s="17"/>
      <c r="C8" s="18"/>
      <c r="D8" s="18"/>
      <c r="E8" s="18"/>
      <c r="F8" s="18"/>
      <c r="G8" s="18"/>
      <c r="H8" s="18"/>
      <c r="I8" s="18"/>
      <c r="J8" s="18"/>
      <c r="K8" s="18"/>
      <c r="L8" s="18">
        <v>1</v>
      </c>
      <c r="M8" s="18"/>
      <c r="N8" s="18">
        <v>1</v>
      </c>
      <c r="O8" s="18">
        <v>1</v>
      </c>
      <c r="P8" s="18">
        <v>4</v>
      </c>
      <c r="Q8" s="18">
        <v>1</v>
      </c>
      <c r="R8" s="18">
        <v>1</v>
      </c>
      <c r="S8" s="18">
        <v>1</v>
      </c>
      <c r="T8" s="19">
        <v>10</v>
      </c>
    </row>
    <row r="9" spans="1:20">
      <c r="A9" s="16" t="s">
        <v>79</v>
      </c>
      <c r="B9" s="17"/>
      <c r="C9" s="18"/>
      <c r="D9" s="18"/>
      <c r="E9" s="18"/>
      <c r="F9" s="18"/>
      <c r="G9" s="18"/>
      <c r="H9" s="18"/>
      <c r="I9" s="18"/>
      <c r="J9" s="18"/>
      <c r="K9" s="18">
        <v>1</v>
      </c>
      <c r="L9" s="18"/>
      <c r="M9" s="18"/>
      <c r="N9" s="18"/>
      <c r="O9" s="18"/>
      <c r="P9" s="18"/>
      <c r="Q9" s="18"/>
      <c r="R9" s="18"/>
      <c r="S9" s="18">
        <v>1</v>
      </c>
      <c r="T9" s="19">
        <v>2</v>
      </c>
    </row>
    <row r="10" spans="1:20">
      <c r="A10" s="16" t="s">
        <v>15</v>
      </c>
      <c r="B10" s="17"/>
      <c r="C10" s="18"/>
      <c r="D10" s="18"/>
      <c r="E10" s="18">
        <v>1</v>
      </c>
      <c r="F10" s="18"/>
      <c r="G10" s="18"/>
      <c r="H10" s="18">
        <v>1</v>
      </c>
      <c r="I10" s="18">
        <v>1</v>
      </c>
      <c r="J10" s="18"/>
      <c r="K10" s="18"/>
      <c r="L10" s="18"/>
      <c r="M10" s="18"/>
      <c r="N10" s="18">
        <v>1</v>
      </c>
      <c r="O10" s="18"/>
      <c r="P10" s="18">
        <v>2</v>
      </c>
      <c r="Q10" s="18"/>
      <c r="R10" s="18">
        <v>1</v>
      </c>
      <c r="S10" s="18"/>
      <c r="T10" s="19">
        <v>7</v>
      </c>
    </row>
    <row r="11" spans="1:20">
      <c r="A11" s="16" t="s">
        <v>73</v>
      </c>
      <c r="B11" s="17"/>
      <c r="C11" s="18"/>
      <c r="D11" s="18"/>
      <c r="E11" s="18"/>
      <c r="F11" s="18">
        <v>1</v>
      </c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9">
        <v>1</v>
      </c>
    </row>
    <row r="12" spans="1:20">
      <c r="A12" s="16" t="s">
        <v>37</v>
      </c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>
        <v>1</v>
      </c>
      <c r="N12" s="18"/>
      <c r="O12" s="18"/>
      <c r="P12" s="18"/>
      <c r="Q12" s="18"/>
      <c r="R12" s="18"/>
      <c r="S12" s="18"/>
      <c r="T12" s="19">
        <v>1</v>
      </c>
    </row>
    <row r="13" spans="1:20">
      <c r="A13" s="16" t="s">
        <v>129</v>
      </c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>
        <v>5</v>
      </c>
      <c r="T13" s="19">
        <v>5</v>
      </c>
    </row>
    <row r="14" spans="1:20">
      <c r="A14" s="16" t="s">
        <v>34</v>
      </c>
      <c r="B14" s="17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>
        <v>1</v>
      </c>
      <c r="Q14" s="18"/>
      <c r="R14" s="18"/>
      <c r="S14" s="18"/>
      <c r="T14" s="19">
        <v>1</v>
      </c>
    </row>
    <row r="15" spans="1:20">
      <c r="A15" s="16" t="s">
        <v>58</v>
      </c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>
        <v>1</v>
      </c>
      <c r="M15" s="18"/>
      <c r="N15" s="18"/>
      <c r="O15" s="18"/>
      <c r="P15" s="18"/>
      <c r="Q15" s="18"/>
      <c r="R15" s="18">
        <v>1</v>
      </c>
      <c r="S15" s="18"/>
      <c r="T15" s="19">
        <v>2</v>
      </c>
    </row>
    <row r="16" spans="1:20">
      <c r="A16" s="16" t="s">
        <v>114</v>
      </c>
      <c r="B16" s="17"/>
      <c r="C16" s="18"/>
      <c r="D16" s="18"/>
      <c r="E16" s="18"/>
      <c r="F16" s="18"/>
      <c r="G16" s="18">
        <v>1</v>
      </c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9">
        <v>1</v>
      </c>
    </row>
    <row r="17" spans="1:20">
      <c r="A17" s="16" t="s">
        <v>101</v>
      </c>
      <c r="B17" s="17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>
        <v>1</v>
      </c>
      <c r="S17" s="18"/>
      <c r="T17" s="19">
        <v>1</v>
      </c>
    </row>
    <row r="18" spans="1:20">
      <c r="A18" s="16" t="s">
        <v>174</v>
      </c>
      <c r="B18" s="17">
        <v>1</v>
      </c>
      <c r="C18" s="18">
        <v>1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9">
        <v>2</v>
      </c>
    </row>
    <row r="19" spans="1:20">
      <c r="A19" s="20" t="s">
        <v>42</v>
      </c>
      <c r="B19" s="21">
        <v>1</v>
      </c>
      <c r="C19" s="22">
        <v>1</v>
      </c>
      <c r="D19" s="22">
        <v>1</v>
      </c>
      <c r="E19" s="22">
        <v>1</v>
      </c>
      <c r="F19" s="22">
        <v>1</v>
      </c>
      <c r="G19" s="22">
        <v>1</v>
      </c>
      <c r="H19" s="22">
        <v>1</v>
      </c>
      <c r="I19" s="22">
        <v>1</v>
      </c>
      <c r="J19" s="22">
        <v>1</v>
      </c>
      <c r="K19" s="22">
        <v>1</v>
      </c>
      <c r="L19" s="22">
        <v>2</v>
      </c>
      <c r="M19" s="22">
        <v>3</v>
      </c>
      <c r="N19" s="22">
        <v>2</v>
      </c>
      <c r="O19" s="22">
        <v>1</v>
      </c>
      <c r="P19" s="22">
        <v>8</v>
      </c>
      <c r="Q19" s="22">
        <v>2</v>
      </c>
      <c r="R19" s="22">
        <v>5</v>
      </c>
      <c r="S19" s="22">
        <v>8</v>
      </c>
      <c r="T19" s="23">
        <v>41</v>
      </c>
    </row>
  </sheetData>
  <pageMargins left="0.7" right="0.7" top="0.75" bottom="0.75" header="0.3" footer="0.3"/>
  <pageSetup scale="75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Article Listing</vt:lpstr>
      <vt:lpstr>Overview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Andreas Warberg</cp:lastModifiedBy>
  <cp:lastPrinted>2007-09-14T06:05:49Z</cp:lastPrinted>
  <dcterms:created xsi:type="dcterms:W3CDTF">2006-09-25T13:34:53Z</dcterms:created>
  <dcterms:modified xsi:type="dcterms:W3CDTF">2007-10-02T10:59:44Z</dcterms:modified>
</cp:coreProperties>
</file>