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pivotTables/pivotTable1.xml" ContentType="application/vnd.openxmlformats-officedocument.spreadsheetml.pivotTable+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charts/chart1.xml" ContentType="application/vnd.openxmlformats-officedocument.drawingml.chart+xml"/>
  <Override PartName="/docProps/app.xml" ContentType="application/vnd.openxmlformats-officedocument.extended-properties+xml"/>
  <Override PartName="/xl/worksheets/sheet2.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pivotCache/pivotCacheDefinition1.xml" ContentType="application/vnd.openxmlformats-officedocument.spreadsheetml.pivotCacheDefinition+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xl/pivotCache/pivotCacheRecords1.xml" ContentType="application/vnd.openxmlformats-officedocument.spreadsheetml.pivotCacheRecord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360" yWindow="300" windowWidth="14895" windowHeight="7410"/>
  </bookViews>
  <sheets>
    <sheet name="Article Listing" sheetId="1" r:id="rId1"/>
    <sheet name="Overview" sheetId="2" r:id="rId2"/>
  </sheets>
  <functionGroups/>
  <calcPr calcId="124519"/>
  <pivotCaches>
    <pivotCache cacheId="0" r:id="rId3"/>
  </pivotCaches>
</workbook>
</file>

<file path=xl/calcChain.xml><?xml version="1.0" encoding="utf-8"?>
<calcChain xmlns="http://schemas.openxmlformats.org/spreadsheetml/2006/main">
  <c r="M49" i="1"/>
  <c r="O15"/>
  <c r="O10"/>
  <c r="O39"/>
  <c r="O34"/>
  <c r="O24"/>
  <c r="O32"/>
  <c r="O26"/>
  <c r="O47"/>
  <c r="O11"/>
  <c r="O29"/>
  <c r="O36"/>
  <c r="O14"/>
  <c r="O45"/>
  <c r="O48"/>
  <c r="O33"/>
  <c r="O25"/>
  <c r="O16"/>
  <c r="O43"/>
  <c r="O9"/>
  <c r="O12"/>
  <c r="O18"/>
  <c r="O44"/>
  <c r="O19"/>
  <c r="O8"/>
  <c r="O37"/>
  <c r="O21"/>
  <c r="O42"/>
  <c r="O28"/>
  <c r="O17"/>
  <c r="O20"/>
  <c r="O35"/>
  <c r="O13"/>
  <c r="O30"/>
  <c r="O27"/>
  <c r="O23"/>
  <c r="O5"/>
  <c r="O22"/>
  <c r="O40"/>
  <c r="O46"/>
  <c r="O41"/>
  <c r="O31"/>
  <c r="O7"/>
  <c r="O38"/>
  <c r="O4"/>
  <c r="O3"/>
  <c r="O2"/>
  <c r="O6"/>
</calcChain>
</file>

<file path=xl/comments1.xml><?xml version="1.0" encoding="utf-8"?>
<comments xmlns="http://schemas.openxmlformats.org/spreadsheetml/2006/main">
  <authors>
    <author>Andreas Warberg</author>
  </authors>
  <commentList>
    <comment ref="D1" authorId="0">
      <text>
        <r>
          <rPr>
            <b/>
            <sz val="8"/>
            <color indexed="81"/>
            <rFont val="Tahoma"/>
            <family val="2"/>
          </rPr>
          <t>Andreas Warberg:</t>
        </r>
        <r>
          <rPr>
            <sz val="8"/>
            <color indexed="81"/>
            <rFont val="Tahoma"/>
            <family val="2"/>
          </rPr>
          <t xml:space="preserve">
The type of optimization employed. Can be historically based, actuated or adaptive (sensors)</t>
        </r>
      </text>
    </comment>
    <comment ref="E1" authorId="0">
      <text>
        <r>
          <rPr>
            <b/>
            <sz val="8"/>
            <color indexed="81"/>
            <rFont val="Tahoma"/>
            <family val="2"/>
          </rPr>
          <t>Andreas Warberg:</t>
        </r>
        <r>
          <rPr>
            <sz val="8"/>
            <color indexed="81"/>
            <rFont val="Tahoma"/>
            <family val="2"/>
          </rPr>
          <t xml:space="preserve">
The size of the tested network in number of traffic lights (nodes).</t>
        </r>
      </text>
    </comment>
    <comment ref="G1" authorId="0">
      <text>
        <r>
          <rPr>
            <b/>
            <sz val="8"/>
            <color indexed="81"/>
            <rFont val="Tahoma"/>
            <family val="2"/>
          </rPr>
          <t>Andreas Warberg:</t>
        </r>
        <r>
          <rPr>
            <sz val="8"/>
            <color indexed="81"/>
            <rFont val="Tahoma"/>
            <family val="2"/>
          </rPr>
          <t xml:space="preserve">
Are the signals operating on a fixed (common) cycle time or can they be adjusted independently.</t>
        </r>
      </text>
    </comment>
    <comment ref="H1" authorId="0">
      <text>
        <r>
          <rPr>
            <b/>
            <sz val="8"/>
            <color indexed="81"/>
            <rFont val="Tahoma"/>
            <family val="2"/>
          </rPr>
          <t>Andreas Warberg:</t>
        </r>
        <r>
          <rPr>
            <sz val="8"/>
            <color indexed="81"/>
            <rFont val="Tahoma"/>
            <family val="2"/>
          </rPr>
          <t xml:space="preserve">
Optimization measure of effectiveness</t>
        </r>
      </text>
    </comment>
  </commentList>
</comments>
</file>

<file path=xl/sharedStrings.xml><?xml version="1.0" encoding="utf-8"?>
<sst xmlns="http://schemas.openxmlformats.org/spreadsheetml/2006/main" count="358" uniqueCount="249">
  <si>
    <t>Year</t>
  </si>
  <si>
    <t>Method</t>
  </si>
  <si>
    <t>Authors</t>
  </si>
  <si>
    <t>Title</t>
  </si>
  <si>
    <t>Development of a Phase-by-Phase, Arrival-Based, Delay-Optimized Adaptive Traffic Signal Control Methodology with Metaheuristic Search</t>
  </si>
  <si>
    <t>Genetic Algorithm</t>
  </si>
  <si>
    <t xml:space="preserve">Michael Shenoda, Randy Machemehl </t>
  </si>
  <si>
    <t>A Genetic Algorithm Approach for Optimizing Traffic Control Signals Considering Routing</t>
  </si>
  <si>
    <t>Fitsum Teklu, Agachai Sumalee, David Watling</t>
  </si>
  <si>
    <t>(Informational)</t>
  </si>
  <si>
    <t>US Dep. Of Transportation, Intelligent Transportation Systems</t>
  </si>
  <si>
    <t>Assessment of a Stochastic Signal Optimization Method Using Microsimulation</t>
  </si>
  <si>
    <t>Byungkyu “Brian” Park, Nagui M. Rouphail, Jerome Sacks</t>
  </si>
  <si>
    <t>An Enhanced 0–1 Mixed-Integer LP Formulation for Traffic Signal Control</t>
  </si>
  <si>
    <t>Wei-Hua Lin, Chenghong Wang</t>
  </si>
  <si>
    <t>Integer Programming</t>
  </si>
  <si>
    <t>Progression Optimization Featuring
Arterial- and Route-Based Priority
Signal Networks</t>
  </si>
  <si>
    <t>Genetic Algorithm Approach for Adaptive Offset Optimization for the Fluctuation of Traffic Flow</t>
  </si>
  <si>
    <t>Sei Takahashi, Hideo Nakamura, Hiroshi Kazama, Tomokazu Fujikura</t>
  </si>
  <si>
    <t>Dynamic Programming</t>
  </si>
  <si>
    <t>A Decentralized Scheme for Real-Time Optimization of Traffic Signals</t>
  </si>
  <si>
    <t xml:space="preserve">I. Porche, M. Sampath, R. Sengupta,  Y.-L. Chen,  S.  Lafortune </t>
  </si>
  <si>
    <t>A multi-band approach to arterial traffic signal optimization</t>
  </si>
  <si>
    <t>Gartner, N.H.;  Assmann, S.F.;  Lasaga, F.;  Hou, D.L.</t>
  </si>
  <si>
    <t>Traffic signal timing at isolated intersections using simulation optimization</t>
  </si>
  <si>
    <t>Nathan H. Gartner, Chronis Stamatiadis</t>
  </si>
  <si>
    <t>Large-Scale Traffic Network Control Based on Convex Programming Coupled with B&amp;B Strategy</t>
  </si>
  <si>
    <t>Tatsuya Kato, YoungWoo Kim, Shigeru Okuma and Tatsuo Narikiyo</t>
  </si>
  <si>
    <t>Tsin Hing Heung;  Tin Kin Ho;  Yu Fai Fung</t>
  </si>
  <si>
    <t>Coordinated road-junction traffic control by dynamic programming</t>
  </si>
  <si>
    <t>Genetic algorithms and cellular automata: a new architecture for traffic light cycles optimization</t>
  </si>
  <si>
    <t>Sanchez, J.J.;  Galan, M.;  Rubio, E.</t>
  </si>
  <si>
    <t>Simulation and optimization of traffic in a city</t>
  </si>
  <si>
    <t>Wiering, M.;  Vreeken, J.;  van Veenen, J.;  Koopman, A.</t>
  </si>
  <si>
    <t>Reinforcement learning</t>
  </si>
  <si>
    <t>The optimization of traffic signal light using artificial intelligence</t>
  </si>
  <si>
    <t>GiYoung Lim;  JeongJin Kang;  YouSik Hong</t>
  </si>
  <si>
    <t>Neural networks, fuzzy logic</t>
  </si>
  <si>
    <t>Scheduling of traffic lights -- New approach</t>
  </si>
  <si>
    <t>Stoffers, K.E.</t>
  </si>
  <si>
    <t>Publication year</t>
  </si>
  <si>
    <t>Total</t>
  </si>
  <si>
    <t>Total for method</t>
  </si>
  <si>
    <t>Signalregulering på Centrumforbindelsen med UTOPIA/SPOT</t>
  </si>
  <si>
    <t>Peter Bäcker Hansen, Lars Bo Frederiksen, Peter Christensen</t>
  </si>
  <si>
    <t>MOTION</t>
  </si>
  <si>
    <t>Nicoline Varberg, Dorrit Jakobsen</t>
  </si>
  <si>
    <t>Niels Chr. Johannesen</t>
  </si>
  <si>
    <t>Adaptive styresystemer sikrer optimalt investering</t>
  </si>
  <si>
    <t>Saka, A.A.;  Anandalingam, G.;  Garger, N.J.</t>
  </si>
  <si>
    <t>An algorithm for local continuous optimization of traffic signals</t>
  </si>
  <si>
    <t>Ying, J.Q.;  Lu, H.;  Shi, J.</t>
  </si>
  <si>
    <t>Offline offset refiner for coordinated actuated signal control systems</t>
  </si>
  <si>
    <t>Yin, Yafeng;  Li, Meng;  Skabardonis, Alexander</t>
  </si>
  <si>
    <t>Comparative tests of solution methods for signal-controlled road networks</t>
  </si>
  <si>
    <t>Chiou, S.W.</t>
  </si>
  <si>
    <t>A platoon-based traffic signal timing algorithm for major-minor intersection types</t>
  </si>
  <si>
    <t>Jiang, Y.;  Li, S.;  Shamo, D.E.</t>
  </si>
  <si>
    <t>Simulation</t>
  </si>
  <si>
    <t>Developing combined genetic algorithm - Hill-climbing optimization method for area traffic control</t>
  </si>
  <si>
    <t>Ceylan, Halim</t>
  </si>
  <si>
    <t>Genetic algorithm solution for the stochastic equilibrium transportation networks under congestion</t>
  </si>
  <si>
    <t>Ceylan, Halim;  Bell, Michael G.H.</t>
  </si>
  <si>
    <t>Optimization of Traffic Signal Settings by Mixed-Integer Linear Programming Part I: The Network Coordination Problem.</t>
  </si>
  <si>
    <t>Gartner, Nathan H.; Little, John D. C.; Gabbay, Henry</t>
  </si>
  <si>
    <t>Probabilistic Approach to Implementing Traffic Signal Warrants</t>
  </si>
  <si>
    <t>Byungkyu "Brian" Park, Nagui M. Rouphail, and Joseph E. Hummer</t>
  </si>
  <si>
    <t>Importance</t>
  </si>
  <si>
    <t>Cited in</t>
  </si>
  <si>
    <t>Integrated anticipatory control</t>
  </si>
  <si>
    <t>Taale, H.;  van Zuylen, H.J.</t>
  </si>
  <si>
    <t>Modelling</t>
  </si>
  <si>
    <t>On Stochastic Models of Traffic Assignment</t>
  </si>
  <si>
    <t>Daganzo, Carlos F., Sheffi, Yosef</t>
  </si>
  <si>
    <t>Ceylan, H.;  Bell, M.G.H.</t>
  </si>
  <si>
    <t>Traffic signal timing optimisation based on genetic algorithm approach, including drivers' routing</t>
  </si>
  <si>
    <t xml:space="preserve">Optimization of Area Traffic Control for Equilibrium Network Flows. </t>
  </si>
  <si>
    <t>Gradient</t>
  </si>
  <si>
    <t xml:space="preserve">Anil Kamarajugadda, Dr. Byungkyu "Brian" Park </t>
  </si>
  <si>
    <t xml:space="preserve">Stochastic Traffic Signal Timing Optimization </t>
  </si>
  <si>
    <t>Ramanathan, B.;  McNally, M.G.;  Jayakrishnan, R.</t>
  </si>
  <si>
    <t>Formulation of modern signal control operations as a non-linear mixed integer program</t>
  </si>
  <si>
    <t>Gartner, N.H.;  Stamatiadis, C.</t>
  </si>
  <si>
    <t>Arterial-based control of traffic flow in urban grid networks</t>
  </si>
  <si>
    <t>Comments</t>
  </si>
  <si>
    <t>Simple, embedded, simulator. Vehicles follows a route from start to finish (no turning off).</t>
  </si>
  <si>
    <t>Traffic Signal Control - Deployment Benefits and lessons learned</t>
  </si>
  <si>
    <t>ALLONS-D, adaptive scheme, no fixed-cycle-length requirement. Each signal controller minimizes delay for approaches to intersection.</t>
  </si>
  <si>
    <t>Network size</t>
  </si>
  <si>
    <t>Adaptive</t>
  </si>
  <si>
    <t>Progression method (platooning). Model walkthrough (MAXBAND, PASSER II, TRANSYT)</t>
  </si>
  <si>
    <t>MOE</t>
  </si>
  <si>
    <t>MULTIBAND</t>
  </si>
  <si>
    <t>New Orleans</t>
  </si>
  <si>
    <t>Data set</t>
  </si>
  <si>
    <t>Historical</t>
  </si>
  <si>
    <t>Average delay</t>
  </si>
  <si>
    <t>Tabu Search</t>
  </si>
  <si>
    <t>Simulator</t>
  </si>
  <si>
    <t>NETSIM</t>
  </si>
  <si>
    <t>CORSIM</t>
  </si>
  <si>
    <t>Optimization method</t>
  </si>
  <si>
    <t>Phase based</t>
  </si>
  <si>
    <t>Common cycle</t>
  </si>
  <si>
    <t>Synchronization type</t>
  </si>
  <si>
    <t>Artificial grid</t>
  </si>
  <si>
    <t>Cellular Automaton</t>
  </si>
  <si>
    <t>HPN/MLDS</t>
  </si>
  <si>
    <t>Simulation, Dynamic Programming</t>
  </si>
  <si>
    <t>Demand forecast base</t>
  </si>
  <si>
    <t>Stochastic inventory model</t>
  </si>
  <si>
    <t>Problem cast into realm of queueing theory. Postulates that erlang distributed arrivals are the most realistic (platooning?).</t>
  </si>
  <si>
    <t>SIMAN</t>
  </si>
  <si>
    <t>Single signal with varying traffic volume</t>
  </si>
  <si>
    <t>Webster, F. V.</t>
  </si>
  <si>
    <t>Traffic Signal Setting</t>
  </si>
  <si>
    <t>Queuing Models for Analysis of Traffic Adaptive Signal Control</t>
  </si>
  <si>
    <t>Mirchandani, P. B.;  Zou, N.</t>
  </si>
  <si>
    <t>Single intersection with different flows</t>
  </si>
  <si>
    <t>MATLAB</t>
  </si>
  <si>
    <t>Treats intersection as a server in a queue system</t>
  </si>
  <si>
    <t>Only single intersection considered. Mentions performance problems. Shows that simulation is more realistic than analytical forecast.</t>
  </si>
  <si>
    <t>Numerical search</t>
  </si>
  <si>
    <t>Agent network</t>
  </si>
  <si>
    <t>Lee, Dong-liang;  Deng, Lawrence Y.</t>
  </si>
  <si>
    <t>Self Awareness and Adaptive Traffic Signal Control System for Smart World</t>
  </si>
  <si>
    <t>Webster, frequent updates</t>
  </si>
  <si>
    <t>MinQuan W. Rd. and ChenDer Rd.</t>
  </si>
  <si>
    <t>(none)</t>
  </si>
  <si>
    <t>Fuzzy logic controller with GA learning</t>
  </si>
  <si>
    <t>Simple two-junction network</t>
  </si>
  <si>
    <t>(A simulator is used but the name is not given)</t>
  </si>
  <si>
    <t>Average delay and number of stops</t>
  </si>
  <si>
    <t>Puts focus on decentralized control. Points out that adaptive control systems such as SCOOT has been shown to outperform static optimization eg. Webster but not in an overwhelmingly manner.</t>
  </si>
  <si>
    <t>Artifical, but complex, network</t>
  </si>
  <si>
    <t>Average time in network</t>
  </si>
  <si>
    <t>Green Ligth District</t>
  </si>
  <si>
    <t>15 (urban), 14 (surrounding highway)</t>
  </si>
  <si>
    <t>Urban street network and ordinary streets with highways around</t>
  </si>
  <si>
    <t>Deterministic simulator (consider fixed seed instead). Chromosone evaluation parrallelized.</t>
  </si>
  <si>
    <t>Actually learning by punishment. A penalty is given when vehicles wait. Tests a number of signal controller policies.</t>
  </si>
  <si>
    <t>Online</t>
  </si>
  <si>
    <t>Highly adaptive learning scheme</t>
  </si>
  <si>
    <t>Measures the physical length of queues rather than number of vehicles. Supervised learning. Kalman filter for demand prediction.</t>
  </si>
  <si>
    <t>Artificial</t>
  </si>
  <si>
    <t>Two-phase intersections (left and through and right)</t>
  </si>
  <si>
    <t>Fixed cycle time</t>
  </si>
  <si>
    <t>Good explanation of stochastic user equilibrium (SUE) ie. path choice and traffic assignment (Wardrop). Dynamic nature of demand seems neglected.</t>
  </si>
  <si>
    <t>Wardrop, J.G.</t>
  </si>
  <si>
    <t>Many references to this paper "Wardrop Equilibrium".</t>
  </si>
  <si>
    <t>Key</t>
  </si>
  <si>
    <t>Wardrop</t>
  </si>
  <si>
    <t>Webster</t>
  </si>
  <si>
    <t>Journal</t>
  </si>
  <si>
    <t>European Journal of Operational Research</t>
  </si>
  <si>
    <t>Journal of Transportation Engineering</t>
  </si>
  <si>
    <t>Proceedings Institute of Civil
Engineering</t>
  </si>
  <si>
    <t>Springer</t>
  </si>
  <si>
    <t xml:space="preserve"> Great Britain Department of Scientific and Industrial Research</t>
  </si>
  <si>
    <t>Bandwidth maximization and red meeting probability minimization</t>
  </si>
  <si>
    <t>Paramics 2003 by Quadstone</t>
  </si>
  <si>
    <t>Real data from El Camino Real, Palo Alto, Calif. Various traffic scenarios.</t>
  </si>
  <si>
    <t>(not mentioned)</t>
  </si>
  <si>
    <t>QNEW</t>
  </si>
  <si>
    <t>Real data from Sioux Falls</t>
  </si>
  <si>
    <t>Comparison with GA from article 2 and a sensitivity analysis approach (QNEW&gt;&gt;GA&gt;SAB). Large test network but demand prediction is not discussed. No simulation performed.</t>
  </si>
  <si>
    <t>(Tom)</t>
  </si>
  <si>
    <t>Antal af Key</t>
  </si>
  <si>
    <t>Transportation Science</t>
  </si>
  <si>
    <t>Michael Patriksson</t>
  </si>
  <si>
    <t>Sensitivity analysis of traffic equilibria</t>
  </si>
  <si>
    <t>Non-adaptive. Optimization must be re-run if traffic conditions change by a large factor (they change all the time!). Red meeting probability seems like a good metric (minimize for lead vehicle of platoon and you are less likely to slow a platoon down).</t>
  </si>
  <si>
    <t>TraSim</t>
  </si>
  <si>
    <t>Total delay</t>
  </si>
  <si>
    <t>Transportation Research</t>
  </si>
  <si>
    <t>Solid description of vehicle platoons and characteristics (eg. headway threshold) + detection of them. Considers HIGHWAY intersections (ie non-urban). Actuation like single-vehicle actuation only for platoons. Special simulator developed to include platoon forming (also compared with CORSIM). Sacrifices some delay for vehicles on minor road to accomodate major road platoons.</t>
  </si>
  <si>
    <t>Actuated</t>
  </si>
  <si>
    <t>Historical data gathered from rural highways in Indiana</t>
  </si>
  <si>
    <t>(none, single intersection)</t>
  </si>
  <si>
    <t>ALLONS-D</t>
  </si>
  <si>
    <t>Preset timings based on historical data with actuated green time extensions for platoons.</t>
  </si>
  <si>
    <t>TRANSYT</t>
  </si>
  <si>
    <t>(not clear from text - veh h/h?!)</t>
  </si>
  <si>
    <t>Search space reduction technique "ADESS". Explains about the TRANSYT optimization package. Clear description of GA: "GA's perform a multi-directional search by maintaining a population of potential solutions and encourages information exchange between these directions".</t>
  </si>
  <si>
    <t>Test network by Allsop and Charlesworth (1977)</t>
  </si>
  <si>
    <t>2;22;25;26</t>
  </si>
  <si>
    <t>Adaptive Dynamic Control for Road Traffic Signals</t>
  </si>
  <si>
    <t>Heydecker, BG;  Cai, Chen;  Wong, CK</t>
  </si>
  <si>
    <t>Networking, Sensing and Control, 2007 IEEE International Conference</t>
  </si>
  <si>
    <t>A decomposition approach for signal optimisation in road networks</t>
  </si>
  <si>
    <t>Heydecker, B.G.</t>
  </si>
  <si>
    <t>Same</t>
  </si>
  <si>
    <t>as</t>
  </si>
  <si>
    <t>article</t>
  </si>
  <si>
    <t>Transportation Research Part B</t>
  </si>
  <si>
    <t>in</t>
  </si>
  <si>
    <t>2;20;22;33</t>
  </si>
  <si>
    <t>Ph.D Thesis at University College, London</t>
  </si>
  <si>
    <t>Multiobjective traffic signal timing optimization using non-dominated sorting genetic algorithm</t>
  </si>
  <si>
    <t>Sun, D.;  Benekohal, R.F.;  Waller, S.T.</t>
  </si>
  <si>
    <t>Intelligent Vehicles Symposium, 2003. Proceedings. IEEE</t>
  </si>
  <si>
    <t>Bilevel optimization (signal setting and traffic assignment).</t>
  </si>
  <si>
    <t>Particle Swarm Optimization</t>
  </si>
  <si>
    <t>Road-junction traffic signal timing optimization by an adaptive particle swarm algorithm</t>
  </si>
  <si>
    <t>Chen, Juan;  Xu, Lihong</t>
  </si>
  <si>
    <t>9th International Conference on Control, Automation, Robotics and Vision, 2006, ICARCV '06</t>
  </si>
  <si>
    <t>A real-time information processing algorithm for the evaluation and implementation of ATMS strategies</t>
  </si>
  <si>
    <t>Leonard, J.D., II;  Ramanathan, B.;  Recker, W.W.</t>
  </si>
  <si>
    <t>Intelligent Vehicles '92 Symposium., Proceedings of the</t>
  </si>
  <si>
    <t>SATURN</t>
  </si>
  <si>
    <t>Chester, UK</t>
  </si>
  <si>
    <t>Large network. Adaptive system (considers re-routing).</t>
  </si>
  <si>
    <t>Minimize travel time</t>
  </si>
  <si>
    <t>Computer-Aided Civil and Infrastructure Engineering</t>
  </si>
  <si>
    <t>Research Report SWUTC</t>
  </si>
  <si>
    <t>Technical Report Number 110 at National Institute of Statistical Sciences</t>
  </si>
  <si>
    <t>Goal is to establish that microscopic simulators should be used rather than mesoscopic/macroscopic ones. Generates plans which are superior to analytically derived ones. Measures performance of plans from the GA-SOM method using CORSIM (microscopic). Compares found plans to the ones generated by TRANSYT-7F (mesoscopic simulator, which also uses GA to find good plans).</t>
  </si>
  <si>
    <t>Chicago (semi-grid)</t>
  </si>
  <si>
    <t>Maximum queue length</t>
  </si>
  <si>
    <t>Cell-transmission</t>
  </si>
  <si>
    <t>"The sum for all traffic-controlled streams of a weighted linear combination of estimated delay and number of stops per unit time" (From TRANSYT)</t>
  </si>
  <si>
    <t>Combination of total delay and number of stops (same as TRANSYT)</t>
  </si>
  <si>
    <t>Elaborate in discussing alternatives etc. Some programming in Excel. Includes source code. Review of research in adaptive signal control. Probably the article, which takes the most realistic view on the problem.</t>
  </si>
  <si>
    <t>Some questionable assumptions eg. vehicles accelerate to full speed instantly when light switches from red to green. Considers emergency vehicles as an extension.</t>
  </si>
  <si>
    <t>Architecture</t>
  </si>
  <si>
    <t>A real-time traffic signal control system: architecture, algorithms, and analysis</t>
  </si>
  <si>
    <t>Mirchandani, P.;  Head, L.</t>
  </si>
  <si>
    <t>Transportation Research Part C: Emerging Technologies</t>
  </si>
  <si>
    <t>RHODES</t>
  </si>
  <si>
    <t>Adaptive Look-ahead Optimization of Traffic Signals</t>
  </si>
  <si>
    <t>Isaac Porche; Stéphane Lafortune</t>
  </si>
  <si>
    <t>Journal of Intelligent Transportation Systems</t>
  </si>
  <si>
    <t>IEEE TRANSACTIONS ON INTELLIGENT TRANSPORTATION SYSTEMS</t>
  </si>
  <si>
    <t>(There are many references to other articles by these authors, though not this one in particular). Heuristics for speeding up the solve process by putting focus on vehicle platoons.</t>
  </si>
  <si>
    <t>Some theoretical aspects of road traffic research</t>
  </si>
  <si>
    <t>Similar to other Ceylan papers (bi-level problem, GA provides input to TRANSYT etc.). Main difference is that high load is handled better. Stage ordering not optimized.</t>
  </si>
  <si>
    <t>Optimization of Traffic Signal Settings by Mixed-Integer Linear Programming Part II: The Network Synchronization Problem.</t>
  </si>
  <si>
    <t>Part I handles the signal coordination problem (offsets) and assumes cycle time and green splits are fixed. Emphasis on modeling platoon traffic (arrivals).</t>
  </si>
  <si>
    <t>Offset performance measured on delay per platoon.</t>
  </si>
  <si>
    <t>Arrival model based on demand from platoons</t>
  </si>
  <si>
    <t>Research Report under DOT AND ARO</t>
  </si>
  <si>
    <t>Single intersection only.</t>
  </si>
  <si>
    <t>20;28</t>
  </si>
  <si>
    <t>Extension to article 28, queue overflow added</t>
  </si>
  <si>
    <t>Test network from article 28 and also for real-life networks of size 20 and 11 resp</t>
  </si>
  <si>
    <t>Washington DC and Waltham, Massachusetts</t>
  </si>
  <si>
    <t>The extension to the method of article 28 includes a stochastic element (queue overflow) and now optimizes the common cycle as well as the offsets and splits. Was applied to two real-life networks in the US.</t>
  </si>
  <si>
    <t>Minimize the delay at intersections and the queue lengths</t>
  </si>
  <si>
    <t>1; 10; 28; 38</t>
  </si>
</sst>
</file>

<file path=xl/styles.xml><?xml version="1.0" encoding="utf-8"?>
<styleSheet xmlns="http://schemas.openxmlformats.org/spreadsheetml/2006/main">
  <fonts count="3">
    <font>
      <sz val="11"/>
      <color theme="1"/>
      <name val="Calibri"/>
      <family val="2"/>
      <scheme val="minor"/>
    </font>
    <font>
      <sz val="8"/>
      <color indexed="81"/>
      <name val="Tahoma"/>
      <family val="2"/>
    </font>
    <font>
      <b/>
      <sz val="8"/>
      <color indexed="81"/>
      <name val="Tahoma"/>
      <family val="2"/>
    </font>
  </fonts>
  <fills count="2">
    <fill>
      <patternFill patternType="none"/>
    </fill>
    <fill>
      <patternFill patternType="gray125"/>
    </fill>
  </fills>
  <borders count="12">
    <border>
      <left/>
      <right/>
      <top/>
      <bottom/>
      <diagonal/>
    </border>
    <border>
      <left style="thin">
        <color indexed="8"/>
      </left>
      <right/>
      <top style="thin">
        <color indexed="8"/>
      </top>
      <bottom/>
      <diagonal/>
    </border>
    <border>
      <left style="thin">
        <color indexed="65"/>
      </left>
      <right/>
      <top style="thin">
        <color indexed="8"/>
      </top>
      <bottom/>
      <diagonal/>
    </border>
    <border>
      <left style="thin">
        <color indexed="65"/>
      </left>
      <right style="thin">
        <color indexed="8"/>
      </right>
      <top style="thin">
        <color indexed="8"/>
      </top>
      <bottom/>
      <diagonal/>
    </border>
    <border>
      <left style="thin">
        <color indexed="8"/>
      </left>
      <right/>
      <top style="thin">
        <color indexed="65"/>
      </top>
      <bottom/>
      <diagonal/>
    </border>
    <border>
      <left/>
      <right/>
      <top style="thin">
        <color indexed="8"/>
      </top>
      <bottom/>
      <diagonal/>
    </border>
    <border>
      <left style="thin">
        <color indexed="8"/>
      </left>
      <right style="thin">
        <color indexed="8"/>
      </right>
      <top style="thin">
        <color indexed="8"/>
      </top>
      <bottom/>
      <diagonal/>
    </border>
    <border>
      <left/>
      <right/>
      <top style="thin">
        <color indexed="65"/>
      </top>
      <bottom/>
      <diagonal/>
    </border>
    <border>
      <left style="thin">
        <color indexed="8"/>
      </left>
      <right style="thin">
        <color indexed="8"/>
      </right>
      <top style="thin">
        <color indexed="65"/>
      </top>
      <bottom/>
      <diagonal/>
    </border>
    <border>
      <left style="thin">
        <color indexed="8"/>
      </left>
      <right/>
      <top style="thin">
        <color indexed="8"/>
      </top>
      <bottom style="thin">
        <color indexed="8"/>
      </bottom>
      <diagonal/>
    </border>
    <border>
      <left/>
      <right/>
      <top style="thin">
        <color indexed="8"/>
      </top>
      <bottom style="thin">
        <color indexed="8"/>
      </bottom>
      <diagonal/>
    </border>
    <border>
      <left style="thin">
        <color indexed="8"/>
      </left>
      <right style="thin">
        <color indexed="8"/>
      </right>
      <top style="thin">
        <color indexed="8"/>
      </top>
      <bottom style="thin">
        <color indexed="8"/>
      </bottom>
      <diagonal/>
    </border>
  </borders>
  <cellStyleXfs count="1">
    <xf numFmtId="0" fontId="0" fillId="0" borderId="0"/>
  </cellStyleXfs>
  <cellXfs count="29">
    <xf numFmtId="0" fontId="0" fillId="0" borderId="0" xfId="0"/>
    <xf numFmtId="49" fontId="0" fillId="0" borderId="0" xfId="0" applyNumberFormat="1" applyAlignment="1">
      <alignment wrapText="1"/>
    </xf>
    <xf numFmtId="0" fontId="0" fillId="0" borderId="0" xfId="0" applyBorder="1"/>
    <xf numFmtId="49" fontId="0" fillId="0" borderId="0" xfId="0" applyNumberFormat="1" applyBorder="1" applyAlignment="1">
      <alignment wrapText="1"/>
    </xf>
    <xf numFmtId="0" fontId="0" fillId="0" borderId="0" xfId="0" applyAlignment="1">
      <alignment wrapText="1"/>
    </xf>
    <xf numFmtId="0" fontId="0" fillId="0" borderId="0" xfId="0" applyBorder="1" applyAlignment="1">
      <alignment wrapText="1"/>
    </xf>
    <xf numFmtId="0" fontId="0" fillId="0" borderId="1" xfId="0" applyBorder="1"/>
    <xf numFmtId="0" fontId="0" fillId="0" borderId="2" xfId="0" applyBorder="1"/>
    <xf numFmtId="0" fontId="0" fillId="0" borderId="3" xfId="0" applyBorder="1"/>
    <xf numFmtId="0" fontId="0" fillId="0" borderId="1" xfId="0" pivotButton="1" applyBorder="1"/>
    <xf numFmtId="0" fontId="0" fillId="0" borderId="5" xfId="0" applyBorder="1"/>
    <xf numFmtId="0" fontId="0" fillId="0" borderId="6" xfId="0" applyBorder="1"/>
    <xf numFmtId="0" fontId="0" fillId="0" borderId="1" xfId="0" applyBorder="1" applyAlignment="1">
      <alignment horizontal="left"/>
    </xf>
    <xf numFmtId="0" fontId="0" fillId="0" borderId="1" xfId="0" applyNumberFormat="1" applyBorder="1"/>
    <xf numFmtId="0" fontId="0" fillId="0" borderId="5" xfId="0" applyNumberFormat="1" applyBorder="1"/>
    <xf numFmtId="0" fontId="0" fillId="0" borderId="6" xfId="0" applyNumberFormat="1" applyBorder="1"/>
    <xf numFmtId="0" fontId="0" fillId="0" borderId="4" xfId="0" applyBorder="1" applyAlignment="1">
      <alignment horizontal="left"/>
    </xf>
    <xf numFmtId="0" fontId="0" fillId="0" borderId="4" xfId="0" applyNumberFormat="1" applyBorder="1"/>
    <xf numFmtId="0" fontId="0" fillId="0" borderId="7" xfId="0" applyNumberFormat="1" applyBorder="1"/>
    <xf numFmtId="0" fontId="0" fillId="0" borderId="8" xfId="0" applyNumberFormat="1" applyBorder="1"/>
    <xf numFmtId="0" fontId="0" fillId="0" borderId="9" xfId="0" applyBorder="1" applyAlignment="1">
      <alignment horizontal="left"/>
    </xf>
    <xf numFmtId="0" fontId="0" fillId="0" borderId="9" xfId="0" applyNumberFormat="1" applyBorder="1"/>
    <xf numFmtId="0" fontId="0" fillId="0" borderId="10" xfId="0" applyNumberFormat="1" applyBorder="1"/>
    <xf numFmtId="0" fontId="0" fillId="0" borderId="11" xfId="0" applyNumberFormat="1" applyBorder="1"/>
    <xf numFmtId="0" fontId="0" fillId="0" borderId="0" xfId="0" applyNumberFormat="1"/>
    <xf numFmtId="0" fontId="0" fillId="0" borderId="0" xfId="0" applyNumberFormat="1" applyBorder="1"/>
    <xf numFmtId="0" fontId="0" fillId="0" borderId="0" xfId="0" applyNumberFormat="1" applyAlignment="1">
      <alignment wrapText="1"/>
    </xf>
    <xf numFmtId="0" fontId="0" fillId="0" borderId="0" xfId="0" applyNumberFormat="1" applyBorder="1" applyAlignment="1">
      <alignment wrapText="1"/>
    </xf>
    <xf numFmtId="0" fontId="0" fillId="0" borderId="0" xfId="0" applyFont="1"/>
  </cellXfs>
  <cellStyles count="1">
    <cellStyle name="Normal" xfId="0" builtinId="0"/>
  </cellStyles>
  <dxfs count="24">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numFmt numFmtId="0" formatCode="General"/>
    </dxf>
    <dxf>
      <numFmt numFmtId="30" formatCode="@"/>
      <alignment horizontal="general" vertical="bottom" textRotation="0" wrapText="1" indent="0" relativeIndent="0" justifyLastLine="0" shrinkToFit="0" mergeCell="0" readingOrder="0"/>
    </dxf>
    <dxf>
      <alignment horizontal="general" vertical="bottom" textRotation="0" wrapText="1" indent="0" relativeIndent="255" justifyLastLine="0" shrinkToFit="0" mergeCell="0" readingOrder="0"/>
    </dxf>
    <dxf>
      <alignment horizontal="general" vertical="bottom" textRotation="0" wrapText="1" indent="0" relativeIndent="255"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255" justifyLastLine="0" shrinkToFit="0" mergeCell="0" readingOrder="0"/>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lang val="da-DK"/>
  <c:style val="4"/>
  <c:pivotSource>
    <c:name>[Article_Listing.xlsm]Overview!Pivottabel1</c:name>
    <c:fmtId val="2"/>
  </c:pivotSource>
  <c:chart>
    <c:autoTitleDeleted val="1"/>
    <c:pivotFmts>
      <c:pivotFmt>
        <c:idx val="0"/>
      </c:pivotFmt>
      <c:pivotFmt>
        <c:idx val="1"/>
        <c:dLbl>
          <c:idx val="0"/>
          <c:delete val="1"/>
        </c:dLbl>
      </c:pivotFmt>
      <c:pivotFmt>
        <c:idx val="2"/>
        <c:dLbl>
          <c:idx val="0"/>
          <c:delete val="1"/>
        </c:dLbl>
      </c:pivotFmt>
      <c:pivotFmt>
        <c:idx val="3"/>
        <c:dLbl>
          <c:idx val="0"/>
          <c:delete val="1"/>
        </c:dLbl>
      </c:pivotFmt>
      <c:pivotFmt>
        <c:idx val="4"/>
        <c:dLbl>
          <c:idx val="0"/>
          <c:delete val="1"/>
        </c:dLbl>
      </c:pivotFmt>
      <c:pivotFmt>
        <c:idx val="5"/>
        <c:dLbl>
          <c:idx val="0"/>
          <c:delete val="1"/>
        </c:dLbl>
      </c:pivotFmt>
      <c:pivotFmt>
        <c:idx val="6"/>
        <c:dLbl>
          <c:idx val="0"/>
          <c:delete val="1"/>
        </c:dLbl>
      </c:pivotFmt>
      <c:pivotFmt>
        <c:idx val="7"/>
        <c:dLbl>
          <c:idx val="0"/>
          <c:delete val="1"/>
        </c:dLbl>
      </c:pivotFmt>
      <c:pivotFmt>
        <c:idx val="8"/>
        <c:dLbl>
          <c:idx val="0"/>
          <c:delete val="1"/>
        </c:dLbl>
      </c:pivotFmt>
      <c:pivotFmt>
        <c:idx val="9"/>
        <c:dLbl>
          <c:idx val="0"/>
          <c:delete val="1"/>
        </c:dLbl>
      </c:pivotFmt>
      <c:pivotFmt>
        <c:idx val="10"/>
        <c:dLbl>
          <c:idx val="0"/>
          <c:delete val="1"/>
        </c:dLbl>
      </c:pivotFmt>
      <c:pivotFmt>
        <c:idx val="11"/>
      </c:pivotFmt>
      <c:pivotFmt>
        <c:idx val="12"/>
      </c:pivotFmt>
      <c:pivotFmt>
        <c:idx val="13"/>
      </c:pivotFmt>
      <c:pivotFmt>
        <c:idx val="14"/>
      </c:pivotFmt>
      <c:pivotFmt>
        <c:idx val="15"/>
      </c:pivotFmt>
      <c:pivotFmt>
        <c:idx val="16"/>
      </c:pivotFmt>
      <c:pivotFmt>
        <c:idx val="17"/>
      </c:pivotFmt>
      <c:pivotFmt>
        <c:idx val="18"/>
      </c:pivotFmt>
      <c:pivotFmt>
        <c:idx val="19"/>
      </c:pivotFmt>
      <c:pivotFmt>
        <c:idx val="20"/>
      </c:pivotFmt>
      <c:pivotFmt>
        <c:idx val="21"/>
      </c:pivotFmt>
      <c:pivotFmt>
        <c:idx val="22"/>
      </c:pivotFmt>
      <c:pivotFmt>
        <c:idx val="23"/>
      </c:pivotFmt>
      <c:pivotFmt>
        <c:idx val="24"/>
      </c:pivotFmt>
      <c:pivotFmt>
        <c:idx val="25"/>
        <c:marker>
          <c:symbol val="none"/>
        </c:marker>
        <c:dLbl>
          <c:idx val="0"/>
          <c:delete val="1"/>
        </c:dLbl>
      </c:pivotFmt>
      <c:pivotFmt>
        <c:idx val="26"/>
        <c:marker>
          <c:symbol val="none"/>
        </c:marker>
        <c:dLbl>
          <c:idx val="0"/>
          <c:delete val="1"/>
        </c:dLbl>
      </c:pivotFmt>
      <c:pivotFmt>
        <c:idx val="27"/>
        <c:marker>
          <c:symbol val="none"/>
        </c:marker>
        <c:dLbl>
          <c:idx val="0"/>
          <c:delete val="1"/>
        </c:dLbl>
      </c:pivotFmt>
      <c:pivotFmt>
        <c:idx val="28"/>
        <c:marker>
          <c:symbol val="none"/>
        </c:marker>
        <c:dLbl>
          <c:idx val="0"/>
          <c:delete val="1"/>
        </c:dLbl>
      </c:pivotFmt>
      <c:pivotFmt>
        <c:idx val="29"/>
        <c:marker>
          <c:symbol val="none"/>
        </c:marker>
        <c:dLbl>
          <c:idx val="0"/>
          <c:delete val="1"/>
        </c:dLbl>
      </c:pivotFmt>
      <c:pivotFmt>
        <c:idx val="30"/>
        <c:marker>
          <c:symbol val="none"/>
        </c:marker>
        <c:dLbl>
          <c:idx val="0"/>
          <c:delete val="1"/>
        </c:dLbl>
      </c:pivotFmt>
      <c:pivotFmt>
        <c:idx val="31"/>
        <c:marker>
          <c:symbol val="none"/>
        </c:marker>
        <c:dLbl>
          <c:idx val="0"/>
          <c:delete val="1"/>
        </c:dLbl>
      </c:pivotFmt>
      <c:pivotFmt>
        <c:idx val="32"/>
        <c:marker>
          <c:symbol val="none"/>
        </c:marker>
        <c:dLbl>
          <c:idx val="0"/>
          <c:delete val="1"/>
        </c:dLbl>
      </c:pivotFmt>
      <c:pivotFmt>
        <c:idx val="33"/>
        <c:marker>
          <c:symbol val="none"/>
        </c:marker>
        <c:dLbl>
          <c:idx val="0"/>
          <c:delete val="1"/>
        </c:dLbl>
      </c:pivotFmt>
      <c:pivotFmt>
        <c:idx val="34"/>
        <c:marker>
          <c:symbol val="none"/>
        </c:marker>
        <c:dLbl>
          <c:idx val="0"/>
          <c:delete val="1"/>
        </c:dLbl>
      </c:pivotFmt>
      <c:pivotFmt>
        <c:idx val="35"/>
        <c:marker>
          <c:symbol val="none"/>
        </c:marker>
        <c:dLbl>
          <c:idx val="0"/>
          <c:delete val="1"/>
        </c:dLbl>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pivotFmt>
      <c:pivotFmt>
        <c:idx val="53"/>
        <c:marker>
          <c:symbol val="none"/>
        </c:marker>
      </c:pivotFmt>
      <c:pivotFmt>
        <c:idx val="54"/>
        <c:marker>
          <c:symbol val="none"/>
        </c:marker>
      </c:pivotFmt>
      <c:pivotFmt>
        <c:idx val="55"/>
        <c:marker>
          <c:symbol val="none"/>
        </c:marker>
      </c:pivotFmt>
      <c:pivotFmt>
        <c:idx val="56"/>
        <c:marker>
          <c:symbol val="none"/>
        </c:marker>
      </c:pivotFmt>
      <c:pivotFmt>
        <c:idx val="57"/>
        <c:marker>
          <c:symbol val="none"/>
        </c:marker>
      </c:pivotFmt>
      <c:pivotFmt>
        <c:idx val="58"/>
        <c:marker>
          <c:symbol val="none"/>
        </c:marker>
      </c:pivotFmt>
      <c:pivotFmt>
        <c:idx val="59"/>
        <c:marker>
          <c:symbol val="none"/>
        </c:marker>
      </c:pivotFmt>
      <c:pivotFmt>
        <c:idx val="60"/>
        <c:marker>
          <c:symbol val="none"/>
        </c:marker>
      </c:pivotFmt>
      <c:pivotFmt>
        <c:idx val="61"/>
        <c:marker>
          <c:symbol val="none"/>
        </c:marker>
      </c:pivotFmt>
      <c:pivotFmt>
        <c:idx val="62"/>
        <c:marker>
          <c:symbol val="none"/>
        </c:marker>
      </c:pivotFmt>
      <c:pivotFmt>
        <c:idx val="63"/>
        <c:marker>
          <c:symbol val="none"/>
        </c:marker>
      </c:pivotFmt>
      <c:pivotFmt>
        <c:idx val="64"/>
        <c:marker>
          <c:symbol val="none"/>
        </c:marker>
      </c:pivotFmt>
      <c:pivotFmt>
        <c:idx val="65"/>
        <c:marker>
          <c:symbol val="none"/>
        </c:marker>
      </c:pivotFmt>
      <c:pivotFmt>
        <c:idx val="66"/>
        <c:marker>
          <c:symbol val="none"/>
        </c:marker>
      </c:pivotFmt>
      <c:pivotFmt>
        <c:idx val="67"/>
        <c:marker>
          <c:symbol val="none"/>
        </c:marker>
      </c:pivotFmt>
      <c:pivotFmt>
        <c:idx val="68"/>
        <c:marker>
          <c:symbol val="none"/>
        </c:marker>
      </c:pivotFmt>
      <c:pivotFmt>
        <c:idx val="69"/>
        <c:marker>
          <c:symbol val="none"/>
        </c:marker>
      </c:pivotFmt>
      <c:pivotFmt>
        <c:idx val="70"/>
        <c:marker>
          <c:symbol val="none"/>
        </c:marker>
      </c:pivotFmt>
    </c:pivotFmts>
    <c:plotArea>
      <c:layout/>
      <c:barChart>
        <c:barDir val="col"/>
        <c:grouping val="stacked"/>
        <c:ser>
          <c:idx val="0"/>
          <c:order val="0"/>
          <c:tx>
            <c:strRef>
              <c:f>Overview!$B$3:$B$4</c:f>
              <c:strCache>
                <c:ptCount val="1"/>
                <c:pt idx="0">
                  <c:v>1952</c:v>
                </c:pt>
              </c:strCache>
            </c:strRef>
          </c:tx>
          <c:cat>
            <c:strRef>
              <c:f>Overview!$A$5:$A$19</c:f>
              <c:strCache>
                <c:ptCount val="14"/>
                <c:pt idx="0">
                  <c:v>(Informational)</c:v>
                </c:pt>
                <c:pt idx="1">
                  <c:v>Agent network</c:v>
                </c:pt>
                <c:pt idx="2">
                  <c:v>Dynamic Programming</c:v>
                </c:pt>
                <c:pt idx="3">
                  <c:v>Genetic Algorithm</c:v>
                </c:pt>
                <c:pt idx="4">
                  <c:v>Gradient</c:v>
                </c:pt>
                <c:pt idx="5">
                  <c:v>Integer Programming</c:v>
                </c:pt>
                <c:pt idx="6">
                  <c:v>Modelling</c:v>
                </c:pt>
                <c:pt idx="7">
                  <c:v>Neural networks, fuzzy logic</c:v>
                </c:pt>
                <c:pt idx="8">
                  <c:v>Numerical search</c:v>
                </c:pt>
                <c:pt idx="9">
                  <c:v>Reinforcement learning</c:v>
                </c:pt>
                <c:pt idx="10">
                  <c:v>Simulation</c:v>
                </c:pt>
                <c:pt idx="11">
                  <c:v>Simulation, Dynamic Programming</c:v>
                </c:pt>
                <c:pt idx="12">
                  <c:v>Tabu Search</c:v>
                </c:pt>
                <c:pt idx="13">
                  <c:v>(Tom)</c:v>
                </c:pt>
              </c:strCache>
            </c:strRef>
          </c:cat>
          <c:val>
            <c:numRef>
              <c:f>Overview!$B$5:$B$19</c:f>
              <c:numCache>
                <c:formatCode>General</c:formatCode>
                <c:ptCount val="14"/>
                <c:pt idx="13">
                  <c:v>1</c:v>
                </c:pt>
              </c:numCache>
            </c:numRef>
          </c:val>
        </c:ser>
        <c:ser>
          <c:idx val="1"/>
          <c:order val="1"/>
          <c:tx>
            <c:strRef>
              <c:f>Overview!$C$3:$C$4</c:f>
              <c:strCache>
                <c:ptCount val="1"/>
                <c:pt idx="0">
                  <c:v>1958</c:v>
                </c:pt>
              </c:strCache>
            </c:strRef>
          </c:tx>
          <c:cat>
            <c:strRef>
              <c:f>Overview!$A$5:$A$19</c:f>
              <c:strCache>
                <c:ptCount val="14"/>
                <c:pt idx="0">
                  <c:v>(Informational)</c:v>
                </c:pt>
                <c:pt idx="1">
                  <c:v>Agent network</c:v>
                </c:pt>
                <c:pt idx="2">
                  <c:v>Dynamic Programming</c:v>
                </c:pt>
                <c:pt idx="3">
                  <c:v>Genetic Algorithm</c:v>
                </c:pt>
                <c:pt idx="4">
                  <c:v>Gradient</c:v>
                </c:pt>
                <c:pt idx="5">
                  <c:v>Integer Programming</c:v>
                </c:pt>
                <c:pt idx="6">
                  <c:v>Modelling</c:v>
                </c:pt>
                <c:pt idx="7">
                  <c:v>Neural networks, fuzzy logic</c:v>
                </c:pt>
                <c:pt idx="8">
                  <c:v>Numerical search</c:v>
                </c:pt>
                <c:pt idx="9">
                  <c:v>Reinforcement learning</c:v>
                </c:pt>
                <c:pt idx="10">
                  <c:v>Simulation</c:v>
                </c:pt>
                <c:pt idx="11">
                  <c:v>Simulation, Dynamic Programming</c:v>
                </c:pt>
                <c:pt idx="12">
                  <c:v>Tabu Search</c:v>
                </c:pt>
                <c:pt idx="13">
                  <c:v>(Tom)</c:v>
                </c:pt>
              </c:strCache>
            </c:strRef>
          </c:cat>
          <c:val>
            <c:numRef>
              <c:f>Overview!$C$5:$C$19</c:f>
              <c:numCache>
                <c:formatCode>General</c:formatCode>
                <c:ptCount val="14"/>
                <c:pt idx="13">
                  <c:v>1</c:v>
                </c:pt>
              </c:numCache>
            </c:numRef>
          </c:val>
        </c:ser>
        <c:ser>
          <c:idx val="2"/>
          <c:order val="2"/>
          <c:tx>
            <c:strRef>
              <c:f>Overview!$D$3:$D$4</c:f>
              <c:strCache>
                <c:ptCount val="1"/>
                <c:pt idx="0">
                  <c:v>1968</c:v>
                </c:pt>
              </c:strCache>
            </c:strRef>
          </c:tx>
          <c:cat>
            <c:strRef>
              <c:f>Overview!$A$5:$A$19</c:f>
              <c:strCache>
                <c:ptCount val="14"/>
                <c:pt idx="0">
                  <c:v>(Informational)</c:v>
                </c:pt>
                <c:pt idx="1">
                  <c:v>Agent network</c:v>
                </c:pt>
                <c:pt idx="2">
                  <c:v>Dynamic Programming</c:v>
                </c:pt>
                <c:pt idx="3">
                  <c:v>Genetic Algorithm</c:v>
                </c:pt>
                <c:pt idx="4">
                  <c:v>Gradient</c:v>
                </c:pt>
                <c:pt idx="5">
                  <c:v>Integer Programming</c:v>
                </c:pt>
                <c:pt idx="6">
                  <c:v>Modelling</c:v>
                </c:pt>
                <c:pt idx="7">
                  <c:v>Neural networks, fuzzy logic</c:v>
                </c:pt>
                <c:pt idx="8">
                  <c:v>Numerical search</c:v>
                </c:pt>
                <c:pt idx="9">
                  <c:v>Reinforcement learning</c:v>
                </c:pt>
                <c:pt idx="10">
                  <c:v>Simulation</c:v>
                </c:pt>
                <c:pt idx="11">
                  <c:v>Simulation, Dynamic Programming</c:v>
                </c:pt>
                <c:pt idx="12">
                  <c:v>Tabu Search</c:v>
                </c:pt>
                <c:pt idx="13">
                  <c:v>(Tom)</c:v>
                </c:pt>
              </c:strCache>
            </c:strRef>
          </c:cat>
          <c:val>
            <c:numRef>
              <c:f>Overview!$D$5:$D$19</c:f>
              <c:numCache>
                <c:formatCode>General</c:formatCode>
                <c:ptCount val="14"/>
                <c:pt idx="2">
                  <c:v>1</c:v>
                </c:pt>
              </c:numCache>
            </c:numRef>
          </c:val>
        </c:ser>
        <c:ser>
          <c:idx val="3"/>
          <c:order val="3"/>
          <c:tx>
            <c:strRef>
              <c:f>Overview!$E$3:$E$4</c:f>
              <c:strCache>
                <c:ptCount val="1"/>
                <c:pt idx="0">
                  <c:v>1975</c:v>
                </c:pt>
              </c:strCache>
            </c:strRef>
          </c:tx>
          <c:cat>
            <c:strRef>
              <c:f>Overview!$A$5:$A$19</c:f>
              <c:strCache>
                <c:ptCount val="14"/>
                <c:pt idx="0">
                  <c:v>(Informational)</c:v>
                </c:pt>
                <c:pt idx="1">
                  <c:v>Agent network</c:v>
                </c:pt>
                <c:pt idx="2">
                  <c:v>Dynamic Programming</c:v>
                </c:pt>
                <c:pt idx="3">
                  <c:v>Genetic Algorithm</c:v>
                </c:pt>
                <c:pt idx="4">
                  <c:v>Gradient</c:v>
                </c:pt>
                <c:pt idx="5">
                  <c:v>Integer Programming</c:v>
                </c:pt>
                <c:pt idx="6">
                  <c:v>Modelling</c:v>
                </c:pt>
                <c:pt idx="7">
                  <c:v>Neural networks, fuzzy logic</c:v>
                </c:pt>
                <c:pt idx="8">
                  <c:v>Numerical search</c:v>
                </c:pt>
                <c:pt idx="9">
                  <c:v>Reinforcement learning</c:v>
                </c:pt>
                <c:pt idx="10">
                  <c:v>Simulation</c:v>
                </c:pt>
                <c:pt idx="11">
                  <c:v>Simulation, Dynamic Programming</c:v>
                </c:pt>
                <c:pt idx="12">
                  <c:v>Tabu Search</c:v>
                </c:pt>
                <c:pt idx="13">
                  <c:v>(Tom)</c:v>
                </c:pt>
              </c:strCache>
            </c:strRef>
          </c:cat>
          <c:val>
            <c:numRef>
              <c:f>Overview!$E$5:$E$19</c:f>
              <c:numCache>
                <c:formatCode>General</c:formatCode>
                <c:ptCount val="14"/>
                <c:pt idx="5">
                  <c:v>1</c:v>
                </c:pt>
              </c:numCache>
            </c:numRef>
          </c:val>
        </c:ser>
        <c:ser>
          <c:idx val="4"/>
          <c:order val="4"/>
          <c:tx>
            <c:strRef>
              <c:f>Overview!$F$3:$F$4</c:f>
              <c:strCache>
                <c:ptCount val="1"/>
                <c:pt idx="0">
                  <c:v>1977</c:v>
                </c:pt>
              </c:strCache>
            </c:strRef>
          </c:tx>
          <c:cat>
            <c:strRef>
              <c:f>Overview!$A$5:$A$19</c:f>
              <c:strCache>
                <c:ptCount val="14"/>
                <c:pt idx="0">
                  <c:v>(Informational)</c:v>
                </c:pt>
                <c:pt idx="1">
                  <c:v>Agent network</c:v>
                </c:pt>
                <c:pt idx="2">
                  <c:v>Dynamic Programming</c:v>
                </c:pt>
                <c:pt idx="3">
                  <c:v>Genetic Algorithm</c:v>
                </c:pt>
                <c:pt idx="4">
                  <c:v>Gradient</c:v>
                </c:pt>
                <c:pt idx="5">
                  <c:v>Integer Programming</c:v>
                </c:pt>
                <c:pt idx="6">
                  <c:v>Modelling</c:v>
                </c:pt>
                <c:pt idx="7">
                  <c:v>Neural networks, fuzzy logic</c:v>
                </c:pt>
                <c:pt idx="8">
                  <c:v>Numerical search</c:v>
                </c:pt>
                <c:pt idx="9">
                  <c:v>Reinforcement learning</c:v>
                </c:pt>
                <c:pt idx="10">
                  <c:v>Simulation</c:v>
                </c:pt>
                <c:pt idx="11">
                  <c:v>Simulation, Dynamic Programming</c:v>
                </c:pt>
                <c:pt idx="12">
                  <c:v>Tabu Search</c:v>
                </c:pt>
                <c:pt idx="13">
                  <c:v>(Tom)</c:v>
                </c:pt>
              </c:strCache>
            </c:strRef>
          </c:cat>
          <c:val>
            <c:numRef>
              <c:f>Overview!$F$5:$F$19</c:f>
              <c:numCache>
                <c:formatCode>General</c:formatCode>
                <c:ptCount val="14"/>
                <c:pt idx="6">
                  <c:v>1</c:v>
                </c:pt>
              </c:numCache>
            </c:numRef>
          </c:val>
        </c:ser>
        <c:ser>
          <c:idx val="5"/>
          <c:order val="5"/>
          <c:tx>
            <c:strRef>
              <c:f>Overview!$G$3:$G$4</c:f>
              <c:strCache>
                <c:ptCount val="1"/>
                <c:pt idx="0">
                  <c:v>1986</c:v>
                </c:pt>
              </c:strCache>
            </c:strRef>
          </c:tx>
          <c:cat>
            <c:strRef>
              <c:f>Overview!$A$5:$A$19</c:f>
              <c:strCache>
                <c:ptCount val="14"/>
                <c:pt idx="0">
                  <c:v>(Informational)</c:v>
                </c:pt>
                <c:pt idx="1">
                  <c:v>Agent network</c:v>
                </c:pt>
                <c:pt idx="2">
                  <c:v>Dynamic Programming</c:v>
                </c:pt>
                <c:pt idx="3">
                  <c:v>Genetic Algorithm</c:v>
                </c:pt>
                <c:pt idx="4">
                  <c:v>Gradient</c:v>
                </c:pt>
                <c:pt idx="5">
                  <c:v>Integer Programming</c:v>
                </c:pt>
                <c:pt idx="6">
                  <c:v>Modelling</c:v>
                </c:pt>
                <c:pt idx="7">
                  <c:v>Neural networks, fuzzy logic</c:v>
                </c:pt>
                <c:pt idx="8">
                  <c:v>Numerical search</c:v>
                </c:pt>
                <c:pt idx="9">
                  <c:v>Reinforcement learning</c:v>
                </c:pt>
                <c:pt idx="10">
                  <c:v>Simulation</c:v>
                </c:pt>
                <c:pt idx="11">
                  <c:v>Simulation, Dynamic Programming</c:v>
                </c:pt>
                <c:pt idx="12">
                  <c:v>Tabu Search</c:v>
                </c:pt>
                <c:pt idx="13">
                  <c:v>(Tom)</c:v>
                </c:pt>
              </c:strCache>
            </c:strRef>
          </c:cat>
          <c:val>
            <c:numRef>
              <c:f>Overview!$G$5:$G$19</c:f>
              <c:numCache>
                <c:formatCode>General</c:formatCode>
                <c:ptCount val="14"/>
                <c:pt idx="11">
                  <c:v>1</c:v>
                </c:pt>
              </c:numCache>
            </c:numRef>
          </c:val>
        </c:ser>
        <c:ser>
          <c:idx val="6"/>
          <c:order val="6"/>
          <c:tx>
            <c:strRef>
              <c:f>Overview!$H$3:$H$4</c:f>
              <c:strCache>
                <c:ptCount val="1"/>
                <c:pt idx="0">
                  <c:v>1991</c:v>
                </c:pt>
              </c:strCache>
            </c:strRef>
          </c:tx>
          <c:cat>
            <c:strRef>
              <c:f>Overview!$A$5:$A$19</c:f>
              <c:strCache>
                <c:ptCount val="14"/>
                <c:pt idx="0">
                  <c:v>(Informational)</c:v>
                </c:pt>
                <c:pt idx="1">
                  <c:v>Agent network</c:v>
                </c:pt>
                <c:pt idx="2">
                  <c:v>Dynamic Programming</c:v>
                </c:pt>
                <c:pt idx="3">
                  <c:v>Genetic Algorithm</c:v>
                </c:pt>
                <c:pt idx="4">
                  <c:v>Gradient</c:v>
                </c:pt>
                <c:pt idx="5">
                  <c:v>Integer Programming</c:v>
                </c:pt>
                <c:pt idx="6">
                  <c:v>Modelling</c:v>
                </c:pt>
                <c:pt idx="7">
                  <c:v>Neural networks, fuzzy logic</c:v>
                </c:pt>
                <c:pt idx="8">
                  <c:v>Numerical search</c:v>
                </c:pt>
                <c:pt idx="9">
                  <c:v>Reinforcement learning</c:v>
                </c:pt>
                <c:pt idx="10">
                  <c:v>Simulation</c:v>
                </c:pt>
                <c:pt idx="11">
                  <c:v>Simulation, Dynamic Programming</c:v>
                </c:pt>
                <c:pt idx="12">
                  <c:v>Tabu Search</c:v>
                </c:pt>
                <c:pt idx="13">
                  <c:v>(Tom)</c:v>
                </c:pt>
              </c:strCache>
            </c:strRef>
          </c:cat>
          <c:val>
            <c:numRef>
              <c:f>Overview!$H$5:$H$19</c:f>
              <c:numCache>
                <c:formatCode>General</c:formatCode>
                <c:ptCount val="14"/>
                <c:pt idx="5">
                  <c:v>1</c:v>
                </c:pt>
              </c:numCache>
            </c:numRef>
          </c:val>
        </c:ser>
        <c:ser>
          <c:idx val="7"/>
          <c:order val="7"/>
          <c:tx>
            <c:strRef>
              <c:f>Overview!$I$3:$I$4</c:f>
              <c:strCache>
                <c:ptCount val="1"/>
                <c:pt idx="0">
                  <c:v>1995</c:v>
                </c:pt>
              </c:strCache>
            </c:strRef>
          </c:tx>
          <c:cat>
            <c:strRef>
              <c:f>Overview!$A$5:$A$19</c:f>
              <c:strCache>
                <c:ptCount val="14"/>
                <c:pt idx="0">
                  <c:v>(Informational)</c:v>
                </c:pt>
                <c:pt idx="1">
                  <c:v>Agent network</c:v>
                </c:pt>
                <c:pt idx="2">
                  <c:v>Dynamic Programming</c:v>
                </c:pt>
                <c:pt idx="3">
                  <c:v>Genetic Algorithm</c:v>
                </c:pt>
                <c:pt idx="4">
                  <c:v>Gradient</c:v>
                </c:pt>
                <c:pt idx="5">
                  <c:v>Integer Programming</c:v>
                </c:pt>
                <c:pt idx="6">
                  <c:v>Modelling</c:v>
                </c:pt>
                <c:pt idx="7">
                  <c:v>Neural networks, fuzzy logic</c:v>
                </c:pt>
                <c:pt idx="8">
                  <c:v>Numerical search</c:v>
                </c:pt>
                <c:pt idx="9">
                  <c:v>Reinforcement learning</c:v>
                </c:pt>
                <c:pt idx="10">
                  <c:v>Simulation</c:v>
                </c:pt>
                <c:pt idx="11">
                  <c:v>Simulation, Dynamic Programming</c:v>
                </c:pt>
                <c:pt idx="12">
                  <c:v>Tabu Search</c:v>
                </c:pt>
                <c:pt idx="13">
                  <c:v>(Tom)</c:v>
                </c:pt>
              </c:strCache>
            </c:strRef>
          </c:cat>
          <c:val>
            <c:numRef>
              <c:f>Overview!$I$5:$I$19</c:f>
              <c:numCache>
                <c:formatCode>General</c:formatCode>
                <c:ptCount val="14"/>
                <c:pt idx="5">
                  <c:v>1</c:v>
                </c:pt>
              </c:numCache>
            </c:numRef>
          </c:val>
        </c:ser>
        <c:ser>
          <c:idx val="8"/>
          <c:order val="8"/>
          <c:tx>
            <c:strRef>
              <c:f>Overview!$J$3:$J$4</c:f>
              <c:strCache>
                <c:ptCount val="1"/>
                <c:pt idx="0">
                  <c:v>1996</c:v>
                </c:pt>
              </c:strCache>
            </c:strRef>
          </c:tx>
          <c:cat>
            <c:strRef>
              <c:f>Overview!$A$5:$A$19</c:f>
              <c:strCache>
                <c:ptCount val="14"/>
                <c:pt idx="0">
                  <c:v>(Informational)</c:v>
                </c:pt>
                <c:pt idx="1">
                  <c:v>Agent network</c:v>
                </c:pt>
                <c:pt idx="2">
                  <c:v>Dynamic Programming</c:v>
                </c:pt>
                <c:pt idx="3">
                  <c:v>Genetic Algorithm</c:v>
                </c:pt>
                <c:pt idx="4">
                  <c:v>Gradient</c:v>
                </c:pt>
                <c:pt idx="5">
                  <c:v>Integer Programming</c:v>
                </c:pt>
                <c:pt idx="6">
                  <c:v>Modelling</c:v>
                </c:pt>
                <c:pt idx="7">
                  <c:v>Neural networks, fuzzy logic</c:v>
                </c:pt>
                <c:pt idx="8">
                  <c:v>Numerical search</c:v>
                </c:pt>
                <c:pt idx="9">
                  <c:v>Reinforcement learning</c:v>
                </c:pt>
                <c:pt idx="10">
                  <c:v>Simulation</c:v>
                </c:pt>
                <c:pt idx="11">
                  <c:v>Simulation, Dynamic Programming</c:v>
                </c:pt>
                <c:pt idx="12">
                  <c:v>Tabu Search</c:v>
                </c:pt>
                <c:pt idx="13">
                  <c:v>(Tom)</c:v>
                </c:pt>
              </c:strCache>
            </c:strRef>
          </c:cat>
          <c:val>
            <c:numRef>
              <c:f>Overview!$J$5:$J$19</c:f>
              <c:numCache>
                <c:formatCode>General</c:formatCode>
                <c:ptCount val="14"/>
                <c:pt idx="2">
                  <c:v>1</c:v>
                </c:pt>
              </c:numCache>
            </c:numRef>
          </c:val>
        </c:ser>
        <c:ser>
          <c:idx val="9"/>
          <c:order val="9"/>
          <c:tx>
            <c:strRef>
              <c:f>Overview!$K$3:$K$4</c:f>
              <c:strCache>
                <c:ptCount val="1"/>
                <c:pt idx="0">
                  <c:v>1999</c:v>
                </c:pt>
              </c:strCache>
            </c:strRef>
          </c:tx>
          <c:cat>
            <c:strRef>
              <c:f>Overview!$A$5:$A$19</c:f>
              <c:strCache>
                <c:ptCount val="14"/>
                <c:pt idx="0">
                  <c:v>(Informational)</c:v>
                </c:pt>
                <c:pt idx="1">
                  <c:v>Agent network</c:v>
                </c:pt>
                <c:pt idx="2">
                  <c:v>Dynamic Programming</c:v>
                </c:pt>
                <c:pt idx="3">
                  <c:v>Genetic Algorithm</c:v>
                </c:pt>
                <c:pt idx="4">
                  <c:v>Gradient</c:v>
                </c:pt>
                <c:pt idx="5">
                  <c:v>Integer Programming</c:v>
                </c:pt>
                <c:pt idx="6">
                  <c:v>Modelling</c:v>
                </c:pt>
                <c:pt idx="7">
                  <c:v>Neural networks, fuzzy logic</c:v>
                </c:pt>
                <c:pt idx="8">
                  <c:v>Numerical search</c:v>
                </c:pt>
                <c:pt idx="9">
                  <c:v>Reinforcement learning</c:v>
                </c:pt>
                <c:pt idx="10">
                  <c:v>Simulation</c:v>
                </c:pt>
                <c:pt idx="11">
                  <c:v>Simulation, Dynamic Programming</c:v>
                </c:pt>
                <c:pt idx="12">
                  <c:v>Tabu Search</c:v>
                </c:pt>
                <c:pt idx="13">
                  <c:v>(Tom)</c:v>
                </c:pt>
              </c:strCache>
            </c:strRef>
          </c:cat>
          <c:val>
            <c:numRef>
              <c:f>Overview!$K$5:$K$19</c:f>
              <c:numCache>
                <c:formatCode>General</c:formatCode>
                <c:ptCount val="14"/>
                <c:pt idx="4">
                  <c:v>1</c:v>
                </c:pt>
              </c:numCache>
            </c:numRef>
          </c:val>
        </c:ser>
        <c:ser>
          <c:idx val="10"/>
          <c:order val="10"/>
          <c:tx>
            <c:strRef>
              <c:f>Overview!$L$3:$L$4</c:f>
              <c:strCache>
                <c:ptCount val="1"/>
                <c:pt idx="0">
                  <c:v>2000</c:v>
                </c:pt>
              </c:strCache>
            </c:strRef>
          </c:tx>
          <c:cat>
            <c:strRef>
              <c:f>Overview!$A$5:$A$19</c:f>
              <c:strCache>
                <c:ptCount val="14"/>
                <c:pt idx="0">
                  <c:v>(Informational)</c:v>
                </c:pt>
                <c:pt idx="1">
                  <c:v>Agent network</c:v>
                </c:pt>
                <c:pt idx="2">
                  <c:v>Dynamic Programming</c:v>
                </c:pt>
                <c:pt idx="3">
                  <c:v>Genetic Algorithm</c:v>
                </c:pt>
                <c:pt idx="4">
                  <c:v>Gradient</c:v>
                </c:pt>
                <c:pt idx="5">
                  <c:v>Integer Programming</c:v>
                </c:pt>
                <c:pt idx="6">
                  <c:v>Modelling</c:v>
                </c:pt>
                <c:pt idx="7">
                  <c:v>Neural networks, fuzzy logic</c:v>
                </c:pt>
                <c:pt idx="8">
                  <c:v>Numerical search</c:v>
                </c:pt>
                <c:pt idx="9">
                  <c:v>Reinforcement learning</c:v>
                </c:pt>
                <c:pt idx="10">
                  <c:v>Simulation</c:v>
                </c:pt>
                <c:pt idx="11">
                  <c:v>Simulation, Dynamic Programming</c:v>
                </c:pt>
                <c:pt idx="12">
                  <c:v>Tabu Search</c:v>
                </c:pt>
                <c:pt idx="13">
                  <c:v>(Tom)</c:v>
                </c:pt>
              </c:strCache>
            </c:strRef>
          </c:cat>
          <c:val>
            <c:numRef>
              <c:f>Overview!$L$5:$L$19</c:f>
              <c:numCache>
                <c:formatCode>General</c:formatCode>
                <c:ptCount val="14"/>
                <c:pt idx="3">
                  <c:v>1</c:v>
                </c:pt>
                <c:pt idx="10">
                  <c:v>1</c:v>
                </c:pt>
              </c:numCache>
            </c:numRef>
          </c:val>
        </c:ser>
        <c:ser>
          <c:idx val="11"/>
          <c:order val="11"/>
          <c:tx>
            <c:strRef>
              <c:f>Overview!$M$3:$M$4</c:f>
              <c:strCache>
                <c:ptCount val="1"/>
                <c:pt idx="0">
                  <c:v>2001</c:v>
                </c:pt>
              </c:strCache>
            </c:strRef>
          </c:tx>
          <c:cat>
            <c:strRef>
              <c:f>Overview!$A$5:$A$19</c:f>
              <c:strCache>
                <c:ptCount val="14"/>
                <c:pt idx="0">
                  <c:v>(Informational)</c:v>
                </c:pt>
                <c:pt idx="1">
                  <c:v>Agent network</c:v>
                </c:pt>
                <c:pt idx="2">
                  <c:v>Dynamic Programming</c:v>
                </c:pt>
                <c:pt idx="3">
                  <c:v>Genetic Algorithm</c:v>
                </c:pt>
                <c:pt idx="4">
                  <c:v>Gradient</c:v>
                </c:pt>
                <c:pt idx="5">
                  <c:v>Integer Programming</c:v>
                </c:pt>
                <c:pt idx="6">
                  <c:v>Modelling</c:v>
                </c:pt>
                <c:pt idx="7">
                  <c:v>Neural networks, fuzzy logic</c:v>
                </c:pt>
                <c:pt idx="8">
                  <c:v>Numerical search</c:v>
                </c:pt>
                <c:pt idx="9">
                  <c:v>Reinforcement learning</c:v>
                </c:pt>
                <c:pt idx="10">
                  <c:v>Simulation</c:v>
                </c:pt>
                <c:pt idx="11">
                  <c:v>Simulation, Dynamic Programming</c:v>
                </c:pt>
                <c:pt idx="12">
                  <c:v>Tabu Search</c:v>
                </c:pt>
                <c:pt idx="13">
                  <c:v>(Tom)</c:v>
                </c:pt>
              </c:strCache>
            </c:strRef>
          </c:cat>
          <c:val>
            <c:numRef>
              <c:f>Overview!$M$5:$M$19</c:f>
              <c:numCache>
                <c:formatCode>General</c:formatCode>
                <c:ptCount val="14"/>
                <c:pt idx="0">
                  <c:v>2</c:v>
                </c:pt>
                <c:pt idx="7">
                  <c:v>1</c:v>
                </c:pt>
              </c:numCache>
            </c:numRef>
          </c:val>
        </c:ser>
        <c:ser>
          <c:idx val="12"/>
          <c:order val="12"/>
          <c:tx>
            <c:strRef>
              <c:f>Overview!$N$3:$N$4</c:f>
              <c:strCache>
                <c:ptCount val="1"/>
                <c:pt idx="0">
                  <c:v>2002</c:v>
                </c:pt>
              </c:strCache>
            </c:strRef>
          </c:tx>
          <c:cat>
            <c:strRef>
              <c:f>Overview!$A$5:$A$19</c:f>
              <c:strCache>
                <c:ptCount val="14"/>
                <c:pt idx="0">
                  <c:v>(Informational)</c:v>
                </c:pt>
                <c:pt idx="1">
                  <c:v>Agent network</c:v>
                </c:pt>
                <c:pt idx="2">
                  <c:v>Dynamic Programming</c:v>
                </c:pt>
                <c:pt idx="3">
                  <c:v>Genetic Algorithm</c:v>
                </c:pt>
                <c:pt idx="4">
                  <c:v>Gradient</c:v>
                </c:pt>
                <c:pt idx="5">
                  <c:v>Integer Programming</c:v>
                </c:pt>
                <c:pt idx="6">
                  <c:v>Modelling</c:v>
                </c:pt>
                <c:pt idx="7">
                  <c:v>Neural networks, fuzzy logic</c:v>
                </c:pt>
                <c:pt idx="8">
                  <c:v>Numerical search</c:v>
                </c:pt>
                <c:pt idx="9">
                  <c:v>Reinforcement learning</c:v>
                </c:pt>
                <c:pt idx="10">
                  <c:v>Simulation</c:v>
                </c:pt>
                <c:pt idx="11">
                  <c:v>Simulation, Dynamic Programming</c:v>
                </c:pt>
                <c:pt idx="12">
                  <c:v>Tabu Search</c:v>
                </c:pt>
                <c:pt idx="13">
                  <c:v>(Tom)</c:v>
                </c:pt>
              </c:strCache>
            </c:strRef>
          </c:cat>
          <c:val>
            <c:numRef>
              <c:f>Overview!$N$5:$N$19</c:f>
              <c:numCache>
                <c:formatCode>General</c:formatCode>
                <c:ptCount val="14"/>
                <c:pt idx="3">
                  <c:v>1</c:v>
                </c:pt>
                <c:pt idx="5">
                  <c:v>1</c:v>
                </c:pt>
              </c:numCache>
            </c:numRef>
          </c:val>
        </c:ser>
        <c:ser>
          <c:idx val="13"/>
          <c:order val="13"/>
          <c:tx>
            <c:strRef>
              <c:f>Overview!$O$3:$O$4</c:f>
              <c:strCache>
                <c:ptCount val="1"/>
                <c:pt idx="0">
                  <c:v>2003</c:v>
                </c:pt>
              </c:strCache>
            </c:strRef>
          </c:tx>
          <c:cat>
            <c:strRef>
              <c:f>Overview!$A$5:$A$19</c:f>
              <c:strCache>
                <c:ptCount val="14"/>
                <c:pt idx="0">
                  <c:v>(Informational)</c:v>
                </c:pt>
                <c:pt idx="1">
                  <c:v>Agent network</c:v>
                </c:pt>
                <c:pt idx="2">
                  <c:v>Dynamic Programming</c:v>
                </c:pt>
                <c:pt idx="3">
                  <c:v>Genetic Algorithm</c:v>
                </c:pt>
                <c:pt idx="4">
                  <c:v>Gradient</c:v>
                </c:pt>
                <c:pt idx="5">
                  <c:v>Integer Programming</c:v>
                </c:pt>
                <c:pt idx="6">
                  <c:v>Modelling</c:v>
                </c:pt>
                <c:pt idx="7">
                  <c:v>Neural networks, fuzzy logic</c:v>
                </c:pt>
                <c:pt idx="8">
                  <c:v>Numerical search</c:v>
                </c:pt>
                <c:pt idx="9">
                  <c:v>Reinforcement learning</c:v>
                </c:pt>
                <c:pt idx="10">
                  <c:v>Simulation</c:v>
                </c:pt>
                <c:pt idx="11">
                  <c:v>Simulation, Dynamic Programming</c:v>
                </c:pt>
                <c:pt idx="12">
                  <c:v>Tabu Search</c:v>
                </c:pt>
                <c:pt idx="13">
                  <c:v>(Tom)</c:v>
                </c:pt>
              </c:strCache>
            </c:strRef>
          </c:cat>
          <c:val>
            <c:numRef>
              <c:f>Overview!$O$5:$O$19</c:f>
              <c:numCache>
                <c:formatCode>General</c:formatCode>
                <c:ptCount val="14"/>
                <c:pt idx="3">
                  <c:v>1</c:v>
                </c:pt>
              </c:numCache>
            </c:numRef>
          </c:val>
        </c:ser>
        <c:ser>
          <c:idx val="14"/>
          <c:order val="14"/>
          <c:tx>
            <c:strRef>
              <c:f>Overview!$P$3:$P$4</c:f>
              <c:strCache>
                <c:ptCount val="1"/>
                <c:pt idx="0">
                  <c:v>2004</c:v>
                </c:pt>
              </c:strCache>
            </c:strRef>
          </c:tx>
          <c:cat>
            <c:strRef>
              <c:f>Overview!$A$5:$A$19</c:f>
              <c:strCache>
                <c:ptCount val="14"/>
                <c:pt idx="0">
                  <c:v>(Informational)</c:v>
                </c:pt>
                <c:pt idx="1">
                  <c:v>Agent network</c:v>
                </c:pt>
                <c:pt idx="2">
                  <c:v>Dynamic Programming</c:v>
                </c:pt>
                <c:pt idx="3">
                  <c:v>Genetic Algorithm</c:v>
                </c:pt>
                <c:pt idx="4">
                  <c:v>Gradient</c:v>
                </c:pt>
                <c:pt idx="5">
                  <c:v>Integer Programming</c:v>
                </c:pt>
                <c:pt idx="6">
                  <c:v>Modelling</c:v>
                </c:pt>
                <c:pt idx="7">
                  <c:v>Neural networks, fuzzy logic</c:v>
                </c:pt>
                <c:pt idx="8">
                  <c:v>Numerical search</c:v>
                </c:pt>
                <c:pt idx="9">
                  <c:v>Reinforcement learning</c:v>
                </c:pt>
                <c:pt idx="10">
                  <c:v>Simulation</c:v>
                </c:pt>
                <c:pt idx="11">
                  <c:v>Simulation, Dynamic Programming</c:v>
                </c:pt>
                <c:pt idx="12">
                  <c:v>Tabu Search</c:v>
                </c:pt>
                <c:pt idx="13">
                  <c:v>(Tom)</c:v>
                </c:pt>
              </c:strCache>
            </c:strRef>
          </c:cat>
          <c:val>
            <c:numRef>
              <c:f>Overview!$P$5:$P$19</c:f>
              <c:numCache>
                <c:formatCode>General</c:formatCode>
                <c:ptCount val="14"/>
                <c:pt idx="0">
                  <c:v>1</c:v>
                </c:pt>
                <c:pt idx="3">
                  <c:v>4</c:v>
                </c:pt>
                <c:pt idx="5">
                  <c:v>2</c:v>
                </c:pt>
                <c:pt idx="9">
                  <c:v>1</c:v>
                </c:pt>
              </c:numCache>
            </c:numRef>
          </c:val>
        </c:ser>
        <c:ser>
          <c:idx val="15"/>
          <c:order val="15"/>
          <c:tx>
            <c:strRef>
              <c:f>Overview!$Q$3:$Q$4</c:f>
              <c:strCache>
                <c:ptCount val="1"/>
                <c:pt idx="0">
                  <c:v>2005</c:v>
                </c:pt>
              </c:strCache>
            </c:strRef>
          </c:tx>
          <c:cat>
            <c:strRef>
              <c:f>Overview!$A$5:$A$19</c:f>
              <c:strCache>
                <c:ptCount val="14"/>
                <c:pt idx="0">
                  <c:v>(Informational)</c:v>
                </c:pt>
                <c:pt idx="1">
                  <c:v>Agent network</c:v>
                </c:pt>
                <c:pt idx="2">
                  <c:v>Dynamic Programming</c:v>
                </c:pt>
                <c:pt idx="3">
                  <c:v>Genetic Algorithm</c:v>
                </c:pt>
                <c:pt idx="4">
                  <c:v>Gradient</c:v>
                </c:pt>
                <c:pt idx="5">
                  <c:v>Integer Programming</c:v>
                </c:pt>
                <c:pt idx="6">
                  <c:v>Modelling</c:v>
                </c:pt>
                <c:pt idx="7">
                  <c:v>Neural networks, fuzzy logic</c:v>
                </c:pt>
                <c:pt idx="8">
                  <c:v>Numerical search</c:v>
                </c:pt>
                <c:pt idx="9">
                  <c:v>Reinforcement learning</c:v>
                </c:pt>
                <c:pt idx="10">
                  <c:v>Simulation</c:v>
                </c:pt>
                <c:pt idx="11">
                  <c:v>Simulation, Dynamic Programming</c:v>
                </c:pt>
                <c:pt idx="12">
                  <c:v>Tabu Search</c:v>
                </c:pt>
                <c:pt idx="13">
                  <c:v>(Tom)</c:v>
                </c:pt>
              </c:strCache>
            </c:strRef>
          </c:cat>
          <c:val>
            <c:numRef>
              <c:f>Overview!$Q$5:$Q$19</c:f>
              <c:numCache>
                <c:formatCode>General</c:formatCode>
                <c:ptCount val="14"/>
                <c:pt idx="2">
                  <c:v>1</c:v>
                </c:pt>
                <c:pt idx="3">
                  <c:v>1</c:v>
                </c:pt>
              </c:numCache>
            </c:numRef>
          </c:val>
        </c:ser>
        <c:ser>
          <c:idx val="16"/>
          <c:order val="16"/>
          <c:tx>
            <c:strRef>
              <c:f>Overview!$R$3:$R$4</c:f>
              <c:strCache>
                <c:ptCount val="1"/>
                <c:pt idx="0">
                  <c:v>2006</c:v>
                </c:pt>
              </c:strCache>
            </c:strRef>
          </c:tx>
          <c:cat>
            <c:strRef>
              <c:f>Overview!$A$5:$A$19</c:f>
              <c:strCache>
                <c:ptCount val="14"/>
                <c:pt idx="0">
                  <c:v>(Informational)</c:v>
                </c:pt>
                <c:pt idx="1">
                  <c:v>Agent network</c:v>
                </c:pt>
                <c:pt idx="2">
                  <c:v>Dynamic Programming</c:v>
                </c:pt>
                <c:pt idx="3">
                  <c:v>Genetic Algorithm</c:v>
                </c:pt>
                <c:pt idx="4">
                  <c:v>Gradient</c:v>
                </c:pt>
                <c:pt idx="5">
                  <c:v>Integer Programming</c:v>
                </c:pt>
                <c:pt idx="6">
                  <c:v>Modelling</c:v>
                </c:pt>
                <c:pt idx="7">
                  <c:v>Neural networks, fuzzy logic</c:v>
                </c:pt>
                <c:pt idx="8">
                  <c:v>Numerical search</c:v>
                </c:pt>
                <c:pt idx="9">
                  <c:v>Reinforcement learning</c:v>
                </c:pt>
                <c:pt idx="10">
                  <c:v>Simulation</c:v>
                </c:pt>
                <c:pt idx="11">
                  <c:v>Simulation, Dynamic Programming</c:v>
                </c:pt>
                <c:pt idx="12">
                  <c:v>Tabu Search</c:v>
                </c:pt>
                <c:pt idx="13">
                  <c:v>(Tom)</c:v>
                </c:pt>
              </c:strCache>
            </c:strRef>
          </c:cat>
          <c:val>
            <c:numRef>
              <c:f>Overview!$R$5:$R$19</c:f>
              <c:numCache>
                <c:formatCode>General</c:formatCode>
                <c:ptCount val="14"/>
                <c:pt idx="1">
                  <c:v>1</c:v>
                </c:pt>
                <c:pt idx="3">
                  <c:v>1</c:v>
                </c:pt>
                <c:pt idx="5">
                  <c:v>1</c:v>
                </c:pt>
                <c:pt idx="10">
                  <c:v>1</c:v>
                </c:pt>
                <c:pt idx="12">
                  <c:v>1</c:v>
                </c:pt>
              </c:numCache>
            </c:numRef>
          </c:val>
        </c:ser>
        <c:ser>
          <c:idx val="17"/>
          <c:order val="17"/>
          <c:tx>
            <c:strRef>
              <c:f>Overview!$S$3:$S$4</c:f>
              <c:strCache>
                <c:ptCount val="1"/>
                <c:pt idx="0">
                  <c:v>2007</c:v>
                </c:pt>
              </c:strCache>
            </c:strRef>
          </c:tx>
          <c:cat>
            <c:strRef>
              <c:f>Overview!$A$5:$A$19</c:f>
              <c:strCache>
                <c:ptCount val="14"/>
                <c:pt idx="0">
                  <c:v>(Informational)</c:v>
                </c:pt>
                <c:pt idx="1">
                  <c:v>Agent network</c:v>
                </c:pt>
                <c:pt idx="2">
                  <c:v>Dynamic Programming</c:v>
                </c:pt>
                <c:pt idx="3">
                  <c:v>Genetic Algorithm</c:v>
                </c:pt>
                <c:pt idx="4">
                  <c:v>Gradient</c:v>
                </c:pt>
                <c:pt idx="5">
                  <c:v>Integer Programming</c:v>
                </c:pt>
                <c:pt idx="6">
                  <c:v>Modelling</c:v>
                </c:pt>
                <c:pt idx="7">
                  <c:v>Neural networks, fuzzy logic</c:v>
                </c:pt>
                <c:pt idx="8">
                  <c:v>Numerical search</c:v>
                </c:pt>
                <c:pt idx="9">
                  <c:v>Reinforcement learning</c:v>
                </c:pt>
                <c:pt idx="10">
                  <c:v>Simulation</c:v>
                </c:pt>
                <c:pt idx="11">
                  <c:v>Simulation, Dynamic Programming</c:v>
                </c:pt>
                <c:pt idx="12">
                  <c:v>Tabu Search</c:v>
                </c:pt>
                <c:pt idx="13">
                  <c:v>(Tom)</c:v>
                </c:pt>
              </c:strCache>
            </c:strRef>
          </c:cat>
          <c:val>
            <c:numRef>
              <c:f>Overview!$S$5:$S$19</c:f>
              <c:numCache>
                <c:formatCode>General</c:formatCode>
                <c:ptCount val="14"/>
                <c:pt idx="0">
                  <c:v>1</c:v>
                </c:pt>
                <c:pt idx="3">
                  <c:v>1</c:v>
                </c:pt>
                <c:pt idx="4">
                  <c:v>1</c:v>
                </c:pt>
                <c:pt idx="8">
                  <c:v>5</c:v>
                </c:pt>
              </c:numCache>
            </c:numRef>
          </c:val>
        </c:ser>
        <c:overlap val="100"/>
        <c:axId val="62384384"/>
        <c:axId val="62525440"/>
      </c:barChart>
      <c:catAx>
        <c:axId val="62384384"/>
        <c:scaling>
          <c:orientation val="minMax"/>
        </c:scaling>
        <c:axPos val="b"/>
        <c:tickLblPos val="nextTo"/>
        <c:crossAx val="62525440"/>
        <c:crosses val="autoZero"/>
        <c:auto val="1"/>
        <c:lblAlgn val="ctr"/>
        <c:lblOffset val="100"/>
      </c:catAx>
      <c:valAx>
        <c:axId val="62525440"/>
        <c:scaling>
          <c:orientation val="minMax"/>
          <c:min val="0"/>
        </c:scaling>
        <c:axPos val="l"/>
        <c:majorGridlines/>
        <c:numFmt formatCode="General" sourceLinked="1"/>
        <c:tickLblPos val="nextTo"/>
        <c:crossAx val="62384384"/>
        <c:crosses val="autoZero"/>
        <c:crossBetween val="between"/>
        <c:majorUnit val="1"/>
      </c:valAx>
    </c:plotArea>
    <c:legend>
      <c:legendPos val="r"/>
    </c:legend>
    <c:plotVisOnly val="1"/>
  </c:chart>
  <c:printSettings>
    <c:headerFooter/>
    <c:pageMargins b="0.750000000000003" l="0.70000000000000062" r="0.70000000000000062" t="0.750000000000003" header="0.30000000000000032" footer="0.30000000000000032"/>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1019175</xdr:colOff>
      <xdr:row>18</xdr:row>
      <xdr:rowOff>57150</xdr:rowOff>
    </xdr:from>
    <xdr:to>
      <xdr:col>11</xdr:col>
      <xdr:colOff>257176</xdr:colOff>
      <xdr:row>35</xdr:row>
      <xdr:rowOff>152400</xdr:rowOff>
    </xdr:to>
    <xdr:graphicFrame macro="">
      <xdr:nvGraphicFramePr>
        <xdr:cNvPr id="2" name="Diagram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ndreas Warberg" refreshedDate="39356.83214189815" createdVersion="3" refreshedVersion="3" minRefreshableVersion="3" recordCount="41">
  <cacheSource type="worksheet">
    <worksheetSource name="Articles"/>
  </cacheSource>
  <cacheFields count="16">
    <cacheField name="Key" numFmtId="0">
      <sharedItems containsMixedTypes="1" containsNumber="1" containsInteger="1" minValue="1" maxValue="39"/>
    </cacheField>
    <cacheField name="Optimization method" numFmtId="0">
      <sharedItems containsBlank="1" count="14">
        <s v="Tabu Search"/>
        <s v="Genetic Algorithm"/>
        <s v="(Informational)"/>
        <s v="Integer Programming"/>
        <s v="Dynamic Programming"/>
        <s v="Simulation, Dynamic Programming"/>
        <s v="Reinforcement learning"/>
        <s v="Neural networks, fuzzy logic"/>
        <s v="Numerical search"/>
        <s v="Gradient"/>
        <s v="Simulation"/>
        <s v="Modelling"/>
        <m/>
        <s v="Agent network"/>
      </sharedItems>
    </cacheField>
    <cacheField name="Methodology" numFmtId="0">
      <sharedItems containsBlank="1"/>
    </cacheField>
    <cacheField name="Demand forecast base" numFmtId="0">
      <sharedItems containsBlank="1"/>
    </cacheField>
    <cacheField name="Network size" numFmtId="0">
      <sharedItems containsBlank="1" containsMixedTypes="1" containsNumber="1" containsInteger="1" minValue="1" maxValue="24"/>
    </cacheField>
    <cacheField name="Data set" numFmtId="0">
      <sharedItems containsBlank="1"/>
    </cacheField>
    <cacheField name="Synchronization type" numFmtId="0">
      <sharedItems containsBlank="1"/>
    </cacheField>
    <cacheField name="MOE" numFmtId="0">
      <sharedItems containsBlank="1"/>
    </cacheField>
    <cacheField name="Simulator" numFmtId="0">
      <sharedItems containsBlank="1"/>
    </cacheField>
    <cacheField name="Year" numFmtId="0">
      <sharedItems containsSemiMixedTypes="0" containsString="0" containsNumber="1" containsInteger="1" minValue="1952" maxValue="2007" count="18">
        <n v="2006"/>
        <n v="2007"/>
        <n v="2000"/>
        <n v="2004"/>
        <n v="2002"/>
        <n v="1996"/>
        <n v="1991"/>
        <n v="1986"/>
        <n v="2005"/>
        <n v="2001"/>
        <n v="1968"/>
        <n v="1975"/>
        <n v="1977"/>
        <n v="1999"/>
        <n v="2003"/>
        <n v="1995"/>
        <n v="1958"/>
        <n v="1952"/>
      </sharedItems>
    </cacheField>
    <cacheField name="Journal" numFmtId="0">
      <sharedItems containsBlank="1"/>
    </cacheField>
    <cacheField name="Authors" numFmtId="0">
      <sharedItems/>
    </cacheField>
    <cacheField name="Title" numFmtId="49">
      <sharedItems/>
    </cacheField>
    <cacheField name="Cited in" numFmtId="0">
      <sharedItems containsBlank="1" containsMixedTypes="1" containsNumber="1" containsInteger="1" minValue="2" maxValue="20"/>
    </cacheField>
    <cacheField name="Importance" numFmtId="0">
      <sharedItems containsMixedTypes="1" containsNumber="1" containsInteger="1" minValue="1" maxValue="3"/>
    </cacheField>
    <cacheField name="Comments" numFmtId="0">
      <sharedItems containsBlank="1"/>
    </cacheField>
  </cacheFields>
</pivotCacheDefinition>
</file>

<file path=xl/pivotCache/pivotCacheRecords1.xml><?xml version="1.0" encoding="utf-8"?>
<pivotCacheRecords xmlns="http://schemas.openxmlformats.org/spreadsheetml/2006/main" xmlns:r="http://schemas.openxmlformats.org/officeDocument/2006/relationships" count="41">
  <r>
    <n v="1"/>
    <x v="0"/>
    <m/>
    <s v="Adaptive"/>
    <m/>
    <m/>
    <s v="Phase based"/>
    <s v="Average delay"/>
    <s v="CORSIM"/>
    <x v="0"/>
    <m/>
    <s v="Michael Shenoda, Randy Machemehl "/>
    <s v="Development of a Phase-by-Phase, Arrival-Based, Delay-Optimized Adaptive Traffic Signal Control Methodology with Metaheuristic Search"/>
    <m/>
    <s v=""/>
    <s v="Elaborate in discussing alternatives etc. Some programming in Excel. Includes source code. Review of research in adaptive signal control."/>
  </r>
  <r>
    <n v="2"/>
    <x v="1"/>
    <m/>
    <m/>
    <m/>
    <m/>
    <m/>
    <m/>
    <m/>
    <x v="1"/>
    <m/>
    <s v="Fitsum Teklu, Agachai Sumalee, David Watling"/>
    <s v="A Genetic Algorithm Approach for Optimizing Traffic Control Signals Considering Routing"/>
    <m/>
    <s v=""/>
    <m/>
  </r>
  <r>
    <n v="3"/>
    <x v="2"/>
    <m/>
    <m/>
    <m/>
    <m/>
    <m/>
    <m/>
    <m/>
    <x v="1"/>
    <m/>
    <s v="US Dep. Of Transportation, Intelligent Transportation Systems"/>
    <s v="Traffic Signal Control - Deployment Benefits and lessons learned"/>
    <m/>
    <s v=""/>
    <m/>
  </r>
  <r>
    <n v="4"/>
    <x v="1"/>
    <m/>
    <m/>
    <m/>
    <m/>
    <m/>
    <m/>
    <m/>
    <x v="2"/>
    <m/>
    <s v="Byungkyu “Brian” Park, Nagui M. Rouphail, Jerome Sacks"/>
    <s v="Assessment of a Stochastic Signal Optimization Method Using Microsimulation"/>
    <m/>
    <s v=""/>
    <s v="Shows that adaptive methods are superior to purely history (statistics) based  methods."/>
  </r>
  <r>
    <n v="5"/>
    <x v="3"/>
    <m/>
    <m/>
    <m/>
    <m/>
    <m/>
    <m/>
    <m/>
    <x v="3"/>
    <m/>
    <s v="Wei-Hua Lin, Chenghong Wang"/>
    <s v="An Enhanced 0–1 Mixed-Integer LP Formulation for Traffic Signal Control"/>
    <m/>
    <s v=""/>
    <m/>
  </r>
  <r>
    <n v="6"/>
    <x v="3"/>
    <m/>
    <m/>
    <m/>
    <m/>
    <m/>
    <m/>
    <m/>
    <x v="3"/>
    <m/>
    <s v="Nathan H. Gartner, Chronis Stamatiadis"/>
    <s v="Progression Optimization Featuring&#10;Arterial- and Route-Based Priority&#10;Signal Networks"/>
    <m/>
    <s v=""/>
    <s v="Heuristics for speeding up the solve process by putting focus on vehicle platoons."/>
  </r>
  <r>
    <n v="7"/>
    <x v="1"/>
    <m/>
    <m/>
    <m/>
    <m/>
    <m/>
    <m/>
    <m/>
    <x v="4"/>
    <m/>
    <s v="Sei Takahashi, Hideo Nakamura, Hiroshi Kazama, Tomokazu Fujikura"/>
    <s v="Genetic Algorithm Approach for Adaptive Offset Optimization for the Fluctuation of Traffic Flow"/>
    <m/>
    <s v=""/>
    <s v="Simple, embedded, simulator. Vehicles follows a route from start to finish (no turning off)."/>
  </r>
  <r>
    <n v="8"/>
    <x v="4"/>
    <m/>
    <s v="Adaptive"/>
    <m/>
    <m/>
    <m/>
    <m/>
    <m/>
    <x v="5"/>
    <m/>
    <s v="I. Porche, M. Sampath, R. Sengupta,  Y.-L. Chen,  S.  Lafortune "/>
    <s v="A Decentralized Scheme for Real-Time Optimization of Traffic Signals"/>
    <m/>
    <s v=""/>
    <s v="ALLONS-D, adaptive scheme, no fixed-cycle-length requirement. Each signal controller minimizes delay for approaches to intersection."/>
  </r>
  <r>
    <n v="9"/>
    <x v="3"/>
    <s v="MULTIBAND"/>
    <s v="Historical"/>
    <n v="9"/>
    <s v="New Orleans"/>
    <s v="Common cycle"/>
    <s v="Average delay"/>
    <s v="NETSIM"/>
    <x v="6"/>
    <m/>
    <s v="Gartner, N.H.;  Assmann, S.F.;  Lasaga, F.;  Hou, D.L."/>
    <s v="A multi-band approach to arterial traffic signal optimization"/>
    <n v="6"/>
    <n v="1"/>
    <s v="Progression method (platooning). Model walkthrough (MAXBAND, PASSER II, TRANSYT)"/>
  </r>
  <r>
    <n v="10"/>
    <x v="5"/>
    <s v="Stochastic inventory model"/>
    <s v="Historical"/>
    <n v="1"/>
    <s v="Single signal with varying traffic volume"/>
    <s v="Phase based"/>
    <s v="Average delay"/>
    <s v="SIMAN"/>
    <x v="7"/>
    <m/>
    <s v="Saka, A.A.;  Anandalingam, G.;  Garger, N.J."/>
    <s v="Traffic signal timing at isolated intersections using simulation optimization"/>
    <m/>
    <s v=""/>
    <s v="Problem cast into realm of queueing theory. Postulates that erlang distributed arrivals are the most realistic (platooning?)."/>
  </r>
  <r>
    <n v="11"/>
    <x v="3"/>
    <s v="HPN/MLDS"/>
    <s v="Adaptive"/>
    <n v="16"/>
    <s v="Artificial grid"/>
    <m/>
    <m/>
    <s v="Cellular Automaton"/>
    <x v="0"/>
    <m/>
    <s v="Tatsuya Kato, YoungWoo Kim, Shigeru Okuma and Tatsuo Narikiyo"/>
    <s v="Large-Scale Traffic Network Control Based on Convex Programming Coupled with B&amp;B Strategy"/>
    <m/>
    <s v=""/>
    <m/>
  </r>
  <r>
    <n v="12"/>
    <x v="4"/>
    <s v="Fuzzy logic controller with GA learning"/>
    <s v="Adaptive"/>
    <n v="2"/>
    <s v="Simple two-junction network"/>
    <m/>
    <s v="Average delay and number of stops"/>
    <s v="(A simulator is used but the name is not given)"/>
    <x v="8"/>
    <m/>
    <s v="Tsin Hing Heung;  Tin Kin Ho;  Yu Fai Fung"/>
    <s v="Coordinated road-junction traffic control by dynamic programming"/>
    <m/>
    <s v=""/>
    <s v="Puts focus on decentralized control. Points out that adaptive control systems such as SCOOT has been shown to outperform static optimization eg. Webster but not in an overwhelmingly manner."/>
  </r>
  <r>
    <n v="13"/>
    <x v="1"/>
    <m/>
    <s v="Historical"/>
    <n v="16"/>
    <s v="Artifical, but complex, network"/>
    <m/>
    <s v="Average time in network"/>
    <s v="Cellular Automaton"/>
    <x v="3"/>
    <m/>
    <s v="Sanchez, J.J.;  Galan, M.;  Rubio, E."/>
    <s v="Genetic algorithms and cellular automata: a new architecture for traffic light cycles optimization"/>
    <m/>
    <s v=""/>
    <s v="Deterministic simulator (consider fixed seed instead). Chromosone evaluation parrallelized."/>
  </r>
  <r>
    <n v="14"/>
    <x v="6"/>
    <s v="Highly adaptive learning scheme"/>
    <s v="Online"/>
    <s v="15 (urban), 14 (surrounding highway)"/>
    <s v="Urban street network and ordinary streets with highways around"/>
    <m/>
    <s v="Average delay"/>
    <s v="Green Ligth District"/>
    <x v="3"/>
    <m/>
    <s v="Wiering, M.;  Vreeken, J.;  van Veenen, J.;  Koopman, A."/>
    <s v="Simulation and optimization of traffic in a city"/>
    <m/>
    <s v=""/>
    <s v="Actually learning by punishment. A penalty is given when vehicles wait. Tests a number of signal controller policies."/>
  </r>
  <r>
    <n v="15"/>
    <x v="7"/>
    <m/>
    <s v="Adaptive"/>
    <n v="10"/>
    <s v="Artificial"/>
    <m/>
    <s v="Average delay"/>
    <m/>
    <x v="9"/>
    <m/>
    <s v="GiYoung Lim;  JeongJin Kang;  YouSik Hong"/>
    <s v="The optimization of traffic signal light using artificial intelligence"/>
    <m/>
    <s v=""/>
    <s v="Measures the physical length of queues rather than number of vehicles. Supervised learning. Kalman filter for demand prediction."/>
  </r>
  <r>
    <n v="16"/>
    <x v="4"/>
    <m/>
    <m/>
    <m/>
    <m/>
    <m/>
    <m/>
    <m/>
    <x v="10"/>
    <m/>
    <s v="Stoffers, K.E."/>
    <s v="Scheduling of traffic lights -- New approach"/>
    <m/>
    <s v=""/>
    <m/>
  </r>
  <r>
    <n v="17"/>
    <x v="2"/>
    <m/>
    <m/>
    <m/>
    <m/>
    <m/>
    <m/>
    <m/>
    <x v="3"/>
    <m/>
    <s v="Peter Bäcker Hansen, Lars Bo Frederiksen, Peter Christensen"/>
    <s v="Signalregulering på Centrumforbindelsen med UTOPIA/SPOT"/>
    <m/>
    <s v=""/>
    <m/>
  </r>
  <r>
    <n v="18"/>
    <x v="2"/>
    <m/>
    <m/>
    <m/>
    <m/>
    <m/>
    <m/>
    <m/>
    <x v="9"/>
    <m/>
    <s v="Nicoline Varberg, Dorrit Jakobsen"/>
    <s v="MOTION"/>
    <m/>
    <s v=""/>
    <m/>
  </r>
  <r>
    <n v="19"/>
    <x v="2"/>
    <m/>
    <m/>
    <m/>
    <m/>
    <m/>
    <m/>
    <m/>
    <x v="9"/>
    <m/>
    <s v="Niels Chr. Johannesen"/>
    <s v="Adaptive styresystemer sikrer optimalt investering"/>
    <m/>
    <s v=""/>
    <m/>
  </r>
  <r>
    <n v="20"/>
    <x v="8"/>
    <m/>
    <s v="Historical"/>
    <n v="2"/>
    <s v="Two-phase intersections (left and through and right)"/>
    <s v="Fixed cycle time"/>
    <s v="Average time in network"/>
    <s v="(none)"/>
    <x v="1"/>
    <s v="European Journal of Operational Research"/>
    <s v="Ying, J.Q.;  Lu, H.;  Shi, J."/>
    <s v="An algorithm for local continuous optimization of traffic signals"/>
    <m/>
    <s v=""/>
    <s v="Good explanation of stochastic user equilibrium (SUE) ie. path choice and traffic assignment (Wardrop). Dynamic nature of demand seems neglected."/>
  </r>
  <r>
    <n v="21"/>
    <x v="8"/>
    <m/>
    <s v="Historical"/>
    <n v="6"/>
    <s v="Real data from El Camino Real, Palo Alto, Calif. Various traffic scenarios."/>
    <s v="Fixed cycle time"/>
    <s v="Bandwidth maximization and red meeting probability minimization"/>
    <s v="Paramics 2003 by Quadstone"/>
    <x v="1"/>
    <s v="Journal of Transportation Engineering"/>
    <s v="Yin, Yafeng;  Li, Meng;  Skabardonis, Alexander"/>
    <s v="Offline offset refiner for coordinated actuated signal control systems"/>
    <m/>
    <s v=""/>
    <s v="Non-adaptive. Optimization must be re-run if traffic conditions change by a large factor. Red meeting probability seems like a good metric (minimize for lead vehicle of platoon and you are less likely to slow a platoon down)."/>
  </r>
  <r>
    <n v="22"/>
    <x v="8"/>
    <s v="QNEW"/>
    <s v="(not mentioned)"/>
    <n v="24"/>
    <s v="Real data from Sioux Falls"/>
    <s v="Common cycle"/>
    <s v="PI(?)"/>
    <s v="(none)"/>
    <x v="1"/>
    <m/>
    <s v="Chiou, S.W."/>
    <s v="Comparative tests of solution methods for signal-controlled road networks"/>
    <m/>
    <s v=""/>
    <s v="Comparison with GA from article 2 and a sensitivity analysis approach (QNEW&gt;&gt;GA&gt;SAB). Large test network but demand prediction is not discussed. No simulation performed."/>
  </r>
  <r>
    <n v="23"/>
    <x v="8"/>
    <m/>
    <m/>
    <m/>
    <m/>
    <m/>
    <m/>
    <m/>
    <x v="1"/>
    <m/>
    <s v="Chiou, S.W."/>
    <s v="An iterative scheme for signal settings and network flows"/>
    <m/>
    <s v=""/>
    <m/>
  </r>
  <r>
    <n v="24"/>
    <x v="9"/>
    <m/>
    <m/>
    <m/>
    <m/>
    <m/>
    <m/>
    <m/>
    <x v="1"/>
    <m/>
    <s v="Chiou, S.W."/>
    <s v="Optimal design of signal-controlled road network"/>
    <m/>
    <s v=""/>
    <m/>
  </r>
  <r>
    <n v="25"/>
    <x v="10"/>
    <m/>
    <m/>
    <m/>
    <m/>
    <m/>
    <m/>
    <m/>
    <x v="0"/>
    <m/>
    <s v="Jiang, Y.;  Li, S.;  Shamo, D.E."/>
    <s v="A platoon-based traffic signal timing algorithm for major-minor intersection types"/>
    <m/>
    <s v=""/>
    <m/>
  </r>
  <r>
    <n v="26"/>
    <x v="1"/>
    <m/>
    <m/>
    <m/>
    <m/>
    <m/>
    <m/>
    <m/>
    <x v="0"/>
    <m/>
    <s v="Ceylan, Halim"/>
    <s v="Developing combined genetic algorithm - Hill-climbing optimization method for area traffic control"/>
    <m/>
    <s v=""/>
    <m/>
  </r>
  <r>
    <n v="27"/>
    <x v="1"/>
    <m/>
    <m/>
    <m/>
    <m/>
    <m/>
    <m/>
    <m/>
    <x v="3"/>
    <m/>
    <s v="Ceylan, Halim;  Bell, Michael G.H."/>
    <s v="Genetic algorithm solution for the stochastic equilibrium transportation networks under congestion"/>
    <m/>
    <s v=""/>
    <m/>
  </r>
  <r>
    <n v="28"/>
    <x v="3"/>
    <m/>
    <m/>
    <m/>
    <m/>
    <m/>
    <m/>
    <m/>
    <x v="11"/>
    <m/>
    <s v="Gartner, Nathan H.; Little, John D. C.; Gabbay, Henry"/>
    <s v="Optimization of Traffic Signal Settings by Mixed-Integer Linear Programming Part I: The Network Coordination Problem."/>
    <m/>
    <s v=""/>
    <m/>
  </r>
  <r>
    <n v="29"/>
    <x v="10"/>
    <m/>
    <m/>
    <m/>
    <m/>
    <m/>
    <m/>
    <m/>
    <x v="2"/>
    <m/>
    <s v="Byungkyu &quot;Brian&quot; Park, Nagui M. Rouphail, and Joseph E. Hummer"/>
    <s v="Probabilistic Approach to Implementing Traffic Signal Warrants"/>
    <n v="2"/>
    <n v="1"/>
    <m/>
  </r>
  <r>
    <n v="30"/>
    <x v="1"/>
    <m/>
    <m/>
    <m/>
    <m/>
    <m/>
    <m/>
    <m/>
    <x v="8"/>
    <m/>
    <s v=" Ilsoo Yun;  Byungkyu Park"/>
    <s v="Estimation of dynamic origin destination matrix: a genetic algorithm approach"/>
    <n v="2"/>
    <n v="1"/>
    <m/>
  </r>
  <r>
    <n v="31"/>
    <x v="1"/>
    <m/>
    <m/>
    <m/>
    <m/>
    <m/>
    <m/>
    <m/>
    <x v="3"/>
    <m/>
    <s v="Taale, H.;  van Zuylen, H.J."/>
    <s v="Integrated anticipatory control"/>
    <n v="2"/>
    <n v="1"/>
    <m/>
  </r>
  <r>
    <n v="32"/>
    <x v="11"/>
    <m/>
    <m/>
    <m/>
    <m/>
    <m/>
    <m/>
    <m/>
    <x v="12"/>
    <m/>
    <s v="Daganzo, Carlos F., Sheffi, Yosef"/>
    <s v="On Stochastic Models of Traffic Assignment"/>
    <n v="2"/>
    <n v="1"/>
    <m/>
  </r>
  <r>
    <n v="33"/>
    <x v="1"/>
    <m/>
    <m/>
    <m/>
    <m/>
    <m/>
    <m/>
    <m/>
    <x v="3"/>
    <m/>
    <s v="Ceylan, H.;  Bell, M.G.H."/>
    <s v="Traffic signal timing optimisation based on genetic algorithm approach, including drivers' routing"/>
    <n v="2"/>
    <n v="1"/>
    <m/>
  </r>
  <r>
    <n v="34"/>
    <x v="9"/>
    <m/>
    <m/>
    <m/>
    <m/>
    <m/>
    <m/>
    <m/>
    <x v="13"/>
    <m/>
    <s v="Chiou, S.W."/>
    <s v="Optimization of Area Traffic Control for Equilibrium Network Flows. "/>
    <s v="2;20"/>
    <n v="2"/>
    <m/>
  </r>
  <r>
    <n v="35"/>
    <x v="1"/>
    <m/>
    <m/>
    <m/>
    <m/>
    <m/>
    <m/>
    <m/>
    <x v="14"/>
    <m/>
    <s v="Anil Kamarajugadda, Dr. Byungkyu &quot;Brian&quot; Park "/>
    <s v="Stochastic Traffic Signal Timing Optimization "/>
    <m/>
    <s v=""/>
    <m/>
  </r>
  <r>
    <n v="36"/>
    <x v="3"/>
    <m/>
    <m/>
    <m/>
    <m/>
    <m/>
    <m/>
    <m/>
    <x v="15"/>
    <m/>
    <s v="Ramanathan, B.;  McNally, M.G.;  Jayakrishnan, R."/>
    <s v="Formulation of modern signal control operations as a non-linear mixed integer program"/>
    <n v="5"/>
    <n v="1"/>
    <m/>
  </r>
  <r>
    <n v="37"/>
    <x v="3"/>
    <m/>
    <m/>
    <m/>
    <m/>
    <m/>
    <m/>
    <m/>
    <x v="4"/>
    <m/>
    <s v="Gartner, N.H.;  Stamatiadis, C."/>
    <s v="Arterial-based control of traffic flow in urban grid networks"/>
    <n v="6"/>
    <n v="1"/>
    <m/>
  </r>
  <r>
    <s v="Webster"/>
    <x v="12"/>
    <m/>
    <s v="Historical"/>
    <m/>
    <m/>
    <m/>
    <m/>
    <m/>
    <x v="16"/>
    <s v=" Great Britain Department of Scientific and Industrial Research"/>
    <s v="Webster, F. V."/>
    <s v="Traffic Signal Setting"/>
    <s v="1; 10; 38"/>
    <n v="3"/>
    <m/>
  </r>
  <r>
    <n v="38"/>
    <x v="8"/>
    <s v="Treats intersection as a server in a queue system"/>
    <s v="Adaptive"/>
    <n v="1"/>
    <s v="Single intersection with different flows"/>
    <s v="Phase based"/>
    <s v="Average delay"/>
    <s v="MATLAB"/>
    <x v="1"/>
    <m/>
    <s v="Mirchandani, P. B.;  Zou, N."/>
    <s v="Queuing Models for Analysis of Traffic Adaptive Signal Control"/>
    <m/>
    <s v=""/>
    <s v="Only single intersection considered. Mentions performance problems. Shows that simulation is more realistic than analytical forecast."/>
  </r>
  <r>
    <n v="39"/>
    <x v="13"/>
    <s v="Webster, frequent updates"/>
    <s v="Adaptive"/>
    <n v="1"/>
    <s v="MinQuan W. Rd. and ChenDer Rd."/>
    <m/>
    <m/>
    <s v="(none)"/>
    <x v="0"/>
    <s v="Springer"/>
    <s v="Lee, Dong-liang;  Deng, Lawrence Y."/>
    <s v="Self Awareness and Adaptive Traffic Signal Control System for Smart World"/>
    <m/>
    <s v=""/>
    <m/>
  </r>
  <r>
    <s v="Wardrop"/>
    <x v="12"/>
    <m/>
    <m/>
    <m/>
    <m/>
    <m/>
    <m/>
    <m/>
    <x v="17"/>
    <s v="Proceedings Institute of Civil&#10;Engineering"/>
    <s v="Wardrop, J.G."/>
    <s v=" Some theoretical aspects of road traffic research"/>
    <n v="20"/>
    <n v="1"/>
    <s v="Many references to this paper &quot;Wardrop Equilibrium&quot;."/>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el1" cacheId="0" applyNumberFormats="0" applyBorderFormats="0" applyFontFormats="0" applyPatternFormats="0" applyAlignmentFormats="0" applyWidthHeightFormats="1" dataCaption="Værdier" grandTotalCaption="Total for method" updatedVersion="3" minRefreshableVersion="3" showCalcMbrs="0" useAutoFormatting="1" itemPrintTitles="1" createdVersion="3" indent="0" outline="1" outlineData="1" multipleFieldFilters="0" chartFormat="3" rowHeaderCaption="Method" colHeaderCaption="Publication year">
  <location ref="A3:T19" firstHeaderRow="1" firstDataRow="2" firstDataCol="1"/>
  <pivotFields count="16">
    <pivotField dataField="1" showAll="0" defaultSubtotal="0"/>
    <pivotField axis="axisRow" showAll="0" defaultSubtotal="0">
      <items count="14">
        <item x="2"/>
        <item x="13"/>
        <item x="4"/>
        <item x="1"/>
        <item x="9"/>
        <item x="3"/>
        <item x="11"/>
        <item x="7"/>
        <item x="8"/>
        <item x="6"/>
        <item x="10"/>
        <item x="5"/>
        <item x="0"/>
        <item x="12"/>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axis="axisCol" showAll="0" sortType="ascending">
      <items count="19">
        <item x="17"/>
        <item x="16"/>
        <item x="10"/>
        <item x="11"/>
        <item x="12"/>
        <item x="7"/>
        <item x="6"/>
        <item x="15"/>
        <item x="5"/>
        <item x="13"/>
        <item x="2"/>
        <item x="9"/>
        <item x="4"/>
        <item x="14"/>
        <item x="3"/>
        <item x="8"/>
        <item x="0"/>
        <item x="1"/>
        <item t="default"/>
      </items>
    </pivotField>
    <pivotField showAll="0" defaultSubtotal="0"/>
    <pivotField showAll="0"/>
    <pivotField showAll="0"/>
    <pivotField showAll="0" defaultSubtotal="0"/>
    <pivotField showAll="0" defaultSubtotal="0"/>
    <pivotField showAll="0" defaultSubtotal="0"/>
  </pivotFields>
  <rowFields count="1">
    <field x="1"/>
  </rowFields>
  <rowItems count="15">
    <i>
      <x/>
    </i>
    <i>
      <x v="1"/>
    </i>
    <i>
      <x v="2"/>
    </i>
    <i>
      <x v="3"/>
    </i>
    <i>
      <x v="4"/>
    </i>
    <i>
      <x v="5"/>
    </i>
    <i>
      <x v="6"/>
    </i>
    <i>
      <x v="7"/>
    </i>
    <i>
      <x v="8"/>
    </i>
    <i>
      <x v="9"/>
    </i>
    <i>
      <x v="10"/>
    </i>
    <i>
      <x v="11"/>
    </i>
    <i>
      <x v="12"/>
    </i>
    <i>
      <x v="13"/>
    </i>
    <i t="grand">
      <x/>
    </i>
  </rowItems>
  <colFields count="1">
    <field x="9"/>
  </colFields>
  <colItems count="19">
    <i>
      <x/>
    </i>
    <i>
      <x v="1"/>
    </i>
    <i>
      <x v="2"/>
    </i>
    <i>
      <x v="3"/>
    </i>
    <i>
      <x v="4"/>
    </i>
    <i>
      <x v="5"/>
    </i>
    <i>
      <x v="6"/>
    </i>
    <i>
      <x v="7"/>
    </i>
    <i>
      <x v="8"/>
    </i>
    <i>
      <x v="9"/>
    </i>
    <i>
      <x v="10"/>
    </i>
    <i>
      <x v="11"/>
    </i>
    <i>
      <x v="12"/>
    </i>
    <i>
      <x v="13"/>
    </i>
    <i>
      <x v="14"/>
    </i>
    <i>
      <x v="15"/>
    </i>
    <i>
      <x v="16"/>
    </i>
    <i>
      <x v="17"/>
    </i>
    <i t="grand">
      <x/>
    </i>
  </colItems>
  <dataFields count="1">
    <dataField name="Antal af Key" fld="0" subtotal="count" baseField="0" baseItem="0"/>
  </dataFields>
  <chartFormats count="18">
    <chartFormat chart="2" format="53" series="1">
      <pivotArea type="data" outline="0" fieldPosition="0">
        <references count="1">
          <reference field="9" count="1" selected="0">
            <x v="0"/>
          </reference>
        </references>
      </pivotArea>
    </chartFormat>
    <chartFormat chart="2" format="54" series="1">
      <pivotArea type="data" outline="0" fieldPosition="0">
        <references count="1">
          <reference field="9" count="1" selected="0">
            <x v="1"/>
          </reference>
        </references>
      </pivotArea>
    </chartFormat>
    <chartFormat chart="2" format="55" series="1">
      <pivotArea type="data" outline="0" fieldPosition="0">
        <references count="1">
          <reference field="9" count="1" selected="0">
            <x v="2"/>
          </reference>
        </references>
      </pivotArea>
    </chartFormat>
    <chartFormat chart="2" format="56" series="1">
      <pivotArea type="data" outline="0" fieldPosition="0">
        <references count="1">
          <reference field="9" count="1" selected="0">
            <x v="3"/>
          </reference>
        </references>
      </pivotArea>
    </chartFormat>
    <chartFormat chart="2" format="57" series="1">
      <pivotArea type="data" outline="0" fieldPosition="0">
        <references count="1">
          <reference field="9" count="1" selected="0">
            <x v="4"/>
          </reference>
        </references>
      </pivotArea>
    </chartFormat>
    <chartFormat chart="2" format="58" series="1">
      <pivotArea type="data" outline="0" fieldPosition="0">
        <references count="1">
          <reference field="9" count="1" selected="0">
            <x v="5"/>
          </reference>
        </references>
      </pivotArea>
    </chartFormat>
    <chartFormat chart="2" format="59" series="1">
      <pivotArea type="data" outline="0" fieldPosition="0">
        <references count="1">
          <reference field="9" count="1" selected="0">
            <x v="6"/>
          </reference>
        </references>
      </pivotArea>
    </chartFormat>
    <chartFormat chart="2" format="60" series="1">
      <pivotArea type="data" outline="0" fieldPosition="0">
        <references count="1">
          <reference field="9" count="1" selected="0">
            <x v="7"/>
          </reference>
        </references>
      </pivotArea>
    </chartFormat>
    <chartFormat chart="2" format="61" series="1">
      <pivotArea type="data" outline="0" fieldPosition="0">
        <references count="1">
          <reference field="9" count="1" selected="0">
            <x v="8"/>
          </reference>
        </references>
      </pivotArea>
    </chartFormat>
    <chartFormat chart="2" format="62" series="1">
      <pivotArea type="data" outline="0" fieldPosition="0">
        <references count="1">
          <reference field="9" count="1" selected="0">
            <x v="9"/>
          </reference>
        </references>
      </pivotArea>
    </chartFormat>
    <chartFormat chart="2" format="63" series="1">
      <pivotArea type="data" outline="0" fieldPosition="0">
        <references count="1">
          <reference field="9" count="1" selected="0">
            <x v="10"/>
          </reference>
        </references>
      </pivotArea>
    </chartFormat>
    <chartFormat chart="2" format="64" series="1">
      <pivotArea type="data" outline="0" fieldPosition="0">
        <references count="1">
          <reference field="9" count="1" selected="0">
            <x v="11"/>
          </reference>
        </references>
      </pivotArea>
    </chartFormat>
    <chartFormat chart="2" format="65" series="1">
      <pivotArea type="data" outline="0" fieldPosition="0">
        <references count="1">
          <reference field="9" count="1" selected="0">
            <x v="12"/>
          </reference>
        </references>
      </pivotArea>
    </chartFormat>
    <chartFormat chart="2" format="66" series="1">
      <pivotArea type="data" outline="0" fieldPosition="0">
        <references count="1">
          <reference field="9" count="1" selected="0">
            <x v="13"/>
          </reference>
        </references>
      </pivotArea>
    </chartFormat>
    <chartFormat chart="2" format="67" series="1">
      <pivotArea type="data" outline="0" fieldPosition="0">
        <references count="1">
          <reference field="9" count="1" selected="0">
            <x v="14"/>
          </reference>
        </references>
      </pivotArea>
    </chartFormat>
    <chartFormat chart="2" format="68" series="1">
      <pivotArea type="data" outline="0" fieldPosition="0">
        <references count="1">
          <reference field="9" count="1" selected="0">
            <x v="15"/>
          </reference>
        </references>
      </pivotArea>
    </chartFormat>
    <chartFormat chart="2" format="69" series="1">
      <pivotArea type="data" outline="0" fieldPosition="0">
        <references count="1">
          <reference field="9" count="1" selected="0">
            <x v="16"/>
          </reference>
        </references>
      </pivotArea>
    </chartFormat>
    <chartFormat chart="2" format="70" series="1">
      <pivotArea type="data" outline="0" fieldPosition="0">
        <references count="1">
          <reference field="9" count="1" selected="0">
            <x v="17"/>
          </reference>
        </references>
      </pivotArea>
    </chartFormat>
  </chartFormats>
  <pivotTableStyleInfo showRowHeaders="1" showColHeaders="1" showRowStripes="0" showColStripes="0" showLastColumn="1"/>
</pivotTableDefinition>
</file>

<file path=xl/tables/table1.xml><?xml version="1.0" encoding="utf-8"?>
<table xmlns="http://schemas.openxmlformats.org/spreadsheetml/2006/main" id="1" name="Articles" displayName="Articles" ref="A1:P49" totalsRowCount="1">
  <autoFilter ref="A1:P48">
    <filterColumn colId="0"/>
    <filterColumn colId="2"/>
    <filterColumn colId="3"/>
    <filterColumn colId="4"/>
    <filterColumn colId="5"/>
    <filterColumn colId="6"/>
    <filterColumn colId="7"/>
    <filterColumn colId="8"/>
    <filterColumn colId="10"/>
    <filterColumn colId="13"/>
    <filterColumn colId="14"/>
    <filterColumn colId="15"/>
  </autoFilter>
  <sortState ref="A2:P48">
    <sortCondition ref="J1:J48"/>
  </sortState>
  <tableColumns count="16">
    <tableColumn id="5" name="Key" totalsRowLabel="Total"/>
    <tableColumn id="1" name="Optimization method" dataDxfId="23" totalsRowDxfId="11"/>
    <tableColumn id="13" name="Architecture" dataDxfId="22" totalsRowDxfId="10"/>
    <tableColumn id="10" name="Demand forecast base" dataDxfId="21" totalsRowDxfId="9"/>
    <tableColumn id="9" name="Network size" dataDxfId="20" totalsRowDxfId="8"/>
    <tableColumn id="14" name="Data set" dataDxfId="19" totalsRowDxfId="7"/>
    <tableColumn id="11" name="Synchronization type" dataDxfId="18" totalsRowDxfId="6"/>
    <tableColumn id="12" name="MOE" dataDxfId="17" totalsRowDxfId="5"/>
    <tableColumn id="15" name="Simulator" dataDxfId="16" totalsRowDxfId="4"/>
    <tableColumn id="2" name="Year"/>
    <tableColumn id="16" name="Journal" dataDxfId="15"/>
    <tableColumn id="3" name="Authors" dataDxfId="14" totalsRowDxfId="3"/>
    <tableColumn id="4" name="Title" totalsRowFunction="count" dataDxfId="13" totalsRowDxfId="2"/>
    <tableColumn id="6" name="Cited in" totalsRowDxfId="1"/>
    <tableColumn id="7" name="Importance" dataDxfId="12">
      <calculatedColumnFormula>COMMASEPCOUNT(Articles[[#This Row],[Cited in]])</calculatedColumnFormula>
    </tableColumn>
    <tableColumn id="8" name="Comments" totalsRowDxfId="0"/>
  </tableColumns>
  <tableStyleInfo name="TableStyleMedium10" showFirstColumn="1" showLastColumn="0" showRowStripes="1" showColumnStripes="0"/>
</table>
</file>

<file path=xl/theme/theme1.xml><?xml version="1.0" encoding="utf-8"?>
<a:theme xmlns:a="http://schemas.openxmlformats.org/drawingml/2006/main" name="Kontortema">
  <a:themeElements>
    <a:clrScheme name="Kont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ont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Kont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sheetPr codeName="Ark1"/>
  <dimension ref="A1:P51"/>
  <sheetViews>
    <sheetView tabSelected="1" zoomScale="63" zoomScaleNormal="63" workbookViewId="0">
      <selection activeCell="M7" sqref="M7"/>
    </sheetView>
  </sheetViews>
  <sheetFormatPr defaultRowHeight="15"/>
  <cols>
    <col min="1" max="1" width="5.5703125" customWidth="1"/>
    <col min="2" max="2" width="18.85546875" customWidth="1"/>
    <col min="3" max="3" width="12.5703125" customWidth="1"/>
    <col min="4" max="4" width="12.42578125" customWidth="1"/>
    <col min="5" max="5" width="13.140625" customWidth="1"/>
    <col min="6" max="6" width="15" customWidth="1"/>
    <col min="7" max="7" width="22" customWidth="1"/>
    <col min="8" max="8" width="12.5703125" customWidth="1"/>
    <col min="9" max="9" width="15.28515625" customWidth="1"/>
    <col min="10" max="10" width="8.5703125" customWidth="1"/>
    <col min="11" max="11" width="33" customWidth="1"/>
    <col min="12" max="12" width="24" customWidth="1"/>
    <col min="13" max="13" width="39.5703125" customWidth="1"/>
    <col min="14" max="14" width="10.5703125" customWidth="1"/>
    <col min="15" max="15" width="7.7109375" customWidth="1"/>
    <col min="16" max="16" width="61.42578125" bestFit="1" customWidth="1"/>
    <col min="17" max="21" width="5" customWidth="1"/>
    <col min="22" max="22" width="10.85546875" bestFit="1" customWidth="1"/>
  </cols>
  <sheetData>
    <row r="1" spans="1:16">
      <c r="A1" s="28" t="s">
        <v>150</v>
      </c>
      <c r="B1" t="s">
        <v>101</v>
      </c>
      <c r="C1" t="s">
        <v>224</v>
      </c>
      <c r="D1" t="s">
        <v>109</v>
      </c>
      <c r="E1" t="s">
        <v>88</v>
      </c>
      <c r="F1" t="s">
        <v>94</v>
      </c>
      <c r="G1" t="s">
        <v>104</v>
      </c>
      <c r="H1" t="s">
        <v>91</v>
      </c>
      <c r="I1" t="s">
        <v>98</v>
      </c>
      <c r="J1" t="s">
        <v>0</v>
      </c>
      <c r="K1" t="s">
        <v>153</v>
      </c>
      <c r="L1" t="s">
        <v>2</v>
      </c>
      <c r="M1" t="s">
        <v>3</v>
      </c>
      <c r="N1" t="s">
        <v>68</v>
      </c>
      <c r="O1" t="s">
        <v>67</v>
      </c>
      <c r="P1" t="s">
        <v>84</v>
      </c>
    </row>
    <row r="2" spans="1:16" ht="30">
      <c r="A2" s="2" t="s">
        <v>151</v>
      </c>
      <c r="B2" s="5"/>
      <c r="C2" s="5"/>
      <c r="D2" s="5"/>
      <c r="E2" s="5"/>
      <c r="F2" s="5"/>
      <c r="G2" s="5"/>
      <c r="H2" s="5"/>
      <c r="I2" s="5"/>
      <c r="J2" s="2">
        <v>1952</v>
      </c>
      <c r="K2" s="5" t="s">
        <v>156</v>
      </c>
      <c r="L2" s="5" t="s">
        <v>148</v>
      </c>
      <c r="M2" s="3" t="s">
        <v>234</v>
      </c>
      <c r="N2" s="2" t="s">
        <v>242</v>
      </c>
      <c r="O2" s="25">
        <f>COMMASEPCOUNT(Articles[[#This Row],[Cited in]])</f>
        <v>2</v>
      </c>
      <c r="P2" s="26" t="s">
        <v>149</v>
      </c>
    </row>
    <row r="3" spans="1:16" ht="30">
      <c r="A3" s="2" t="s">
        <v>152</v>
      </c>
      <c r="B3" s="5"/>
      <c r="C3" s="5"/>
      <c r="D3" s="5" t="s">
        <v>95</v>
      </c>
      <c r="E3" s="5"/>
      <c r="F3" s="5"/>
      <c r="G3" s="5"/>
      <c r="H3" s="5"/>
      <c r="I3" s="5"/>
      <c r="J3" s="2">
        <v>1958</v>
      </c>
      <c r="K3" s="5" t="s">
        <v>158</v>
      </c>
      <c r="L3" s="5" t="s">
        <v>114</v>
      </c>
      <c r="M3" s="3" t="s">
        <v>115</v>
      </c>
      <c r="N3" s="2" t="s">
        <v>248</v>
      </c>
      <c r="O3" s="25">
        <f>COMMASEPCOUNT(Articles[[#This Row],[Cited in]])</f>
        <v>4</v>
      </c>
      <c r="P3" s="26" t="s">
        <v>241</v>
      </c>
    </row>
    <row r="4" spans="1:16" ht="30">
      <c r="A4" s="2">
        <v>16</v>
      </c>
      <c r="B4" s="5" t="s">
        <v>19</v>
      </c>
      <c r="C4" s="5"/>
      <c r="D4" s="5"/>
      <c r="E4" s="5"/>
      <c r="F4" s="5"/>
      <c r="G4" s="5"/>
      <c r="H4" s="5"/>
      <c r="I4" s="5"/>
      <c r="J4" s="2">
        <v>1968</v>
      </c>
      <c r="K4" s="5"/>
      <c r="L4" s="5" t="s">
        <v>39</v>
      </c>
      <c r="M4" s="3" t="s">
        <v>38</v>
      </c>
      <c r="O4" s="24" t="str">
        <f>COMMASEPCOUNT(Articles[[#This Row],[Cited in]])</f>
        <v/>
      </c>
      <c r="P4" s="26"/>
    </row>
    <row r="5" spans="1:16" ht="75">
      <c r="A5">
        <v>28</v>
      </c>
      <c r="B5" s="4" t="s">
        <v>15</v>
      </c>
      <c r="C5" s="4" t="s">
        <v>239</v>
      </c>
      <c r="D5" s="4" t="s">
        <v>95</v>
      </c>
      <c r="E5" s="4">
        <v>9</v>
      </c>
      <c r="F5" s="4" t="s">
        <v>105</v>
      </c>
      <c r="G5" s="4" t="s">
        <v>103</v>
      </c>
      <c r="H5" s="4" t="s">
        <v>238</v>
      </c>
      <c r="I5" s="4" t="s">
        <v>128</v>
      </c>
      <c r="J5">
        <v>1975</v>
      </c>
      <c r="K5" s="4" t="s">
        <v>240</v>
      </c>
      <c r="L5" s="4" t="s">
        <v>64</v>
      </c>
      <c r="M5" s="1" t="s">
        <v>63</v>
      </c>
      <c r="O5" s="24" t="str">
        <f>COMMASEPCOUNT(Articles[[#This Row],[Cited in]])</f>
        <v/>
      </c>
      <c r="P5" s="26" t="s">
        <v>237</v>
      </c>
    </row>
    <row r="6" spans="1:16" ht="105">
      <c r="A6">
        <v>30</v>
      </c>
      <c r="B6" s="4" t="s">
        <v>15</v>
      </c>
      <c r="C6" s="4" t="s">
        <v>243</v>
      </c>
      <c r="D6" s="4" t="s">
        <v>95</v>
      </c>
      <c r="E6" s="4" t="s">
        <v>244</v>
      </c>
      <c r="F6" s="4" t="s">
        <v>245</v>
      </c>
      <c r="G6" s="4" t="s">
        <v>103</v>
      </c>
      <c r="H6" s="4" t="s">
        <v>247</v>
      </c>
      <c r="I6" s="4" t="s">
        <v>128</v>
      </c>
      <c r="J6">
        <v>1975</v>
      </c>
      <c r="K6" s="4" t="s">
        <v>240</v>
      </c>
      <c r="L6" s="4" t="s">
        <v>64</v>
      </c>
      <c r="M6" s="1" t="s">
        <v>236</v>
      </c>
      <c r="O6" s="24" t="str">
        <f>COMMASEPCOUNT(Articles[[#This Row],[Cited in]])</f>
        <v/>
      </c>
      <c r="P6" s="26" t="s">
        <v>246</v>
      </c>
    </row>
    <row r="7" spans="1:16" ht="30">
      <c r="A7" s="2">
        <v>32</v>
      </c>
      <c r="B7" s="5" t="s">
        <v>71</v>
      </c>
      <c r="C7" s="5"/>
      <c r="D7" s="5"/>
      <c r="E7" s="5"/>
      <c r="F7" s="5"/>
      <c r="G7" s="5"/>
      <c r="H7" s="5"/>
      <c r="I7" s="5"/>
      <c r="J7" s="2">
        <v>1977</v>
      </c>
      <c r="K7" s="5"/>
      <c r="L7" s="5" t="s">
        <v>73</v>
      </c>
      <c r="M7" s="3" t="s">
        <v>72</v>
      </c>
      <c r="N7">
        <v>2</v>
      </c>
      <c r="O7" s="24">
        <f>COMMASEPCOUNT(Articles[[#This Row],[Cited in]])</f>
        <v>1</v>
      </c>
      <c r="P7" s="26"/>
    </row>
    <row r="8" spans="1:16" ht="45">
      <c r="A8" s="2">
        <v>10</v>
      </c>
      <c r="B8" s="5" t="s">
        <v>108</v>
      </c>
      <c r="C8" s="5" t="s">
        <v>110</v>
      </c>
      <c r="D8" s="5" t="s">
        <v>95</v>
      </c>
      <c r="E8" s="5">
        <v>1</v>
      </c>
      <c r="F8" s="5" t="s">
        <v>113</v>
      </c>
      <c r="G8" s="5" t="s">
        <v>102</v>
      </c>
      <c r="H8" s="5" t="s">
        <v>96</v>
      </c>
      <c r="I8" s="5" t="s">
        <v>112</v>
      </c>
      <c r="J8" s="2">
        <v>1986</v>
      </c>
      <c r="K8" s="5"/>
      <c r="L8" s="5" t="s">
        <v>49</v>
      </c>
      <c r="M8" s="3" t="s">
        <v>24</v>
      </c>
      <c r="O8" s="24" t="str">
        <f>COMMASEPCOUNT(Articles[[#This Row],[Cited in]])</f>
        <v/>
      </c>
      <c r="P8" s="26" t="s">
        <v>111</v>
      </c>
    </row>
    <row r="9" spans="1:16" ht="30">
      <c r="A9" s="2">
        <v>9</v>
      </c>
      <c r="B9" s="5" t="s">
        <v>15</v>
      </c>
      <c r="C9" s="5" t="s">
        <v>92</v>
      </c>
      <c r="D9" s="5" t="s">
        <v>95</v>
      </c>
      <c r="E9" s="5">
        <v>9</v>
      </c>
      <c r="F9" s="5" t="s">
        <v>93</v>
      </c>
      <c r="G9" s="5" t="s">
        <v>103</v>
      </c>
      <c r="H9" s="5" t="s">
        <v>96</v>
      </c>
      <c r="I9" s="5" t="s">
        <v>99</v>
      </c>
      <c r="J9" s="2">
        <v>1991</v>
      </c>
      <c r="K9" s="5"/>
      <c r="L9" s="5" t="s">
        <v>23</v>
      </c>
      <c r="M9" s="3" t="s">
        <v>22</v>
      </c>
      <c r="N9">
        <v>6</v>
      </c>
      <c r="O9" s="24">
        <f>COMMASEPCOUNT(Articles[[#This Row],[Cited in]])</f>
        <v>1</v>
      </c>
      <c r="P9" s="26" t="s">
        <v>90</v>
      </c>
    </row>
    <row r="10" spans="1:16" ht="45">
      <c r="A10" s="2">
        <v>43</v>
      </c>
      <c r="B10" s="5"/>
      <c r="C10" s="5"/>
      <c r="D10" s="5"/>
      <c r="E10" s="5"/>
      <c r="F10" s="5"/>
      <c r="G10" s="5"/>
      <c r="H10" s="5"/>
      <c r="I10" s="5"/>
      <c r="J10" s="2">
        <v>1992</v>
      </c>
      <c r="K10" s="5" t="s">
        <v>208</v>
      </c>
      <c r="L10" s="5" t="s">
        <v>207</v>
      </c>
      <c r="M10" s="1" t="s">
        <v>206</v>
      </c>
      <c r="N10" s="2"/>
      <c r="O10" s="25" t="str">
        <f>COMMASEPCOUNT(Articles[[#This Row],[Cited in]])</f>
        <v/>
      </c>
      <c r="P10" s="26"/>
    </row>
    <row r="11" spans="1:16" ht="45">
      <c r="A11">
        <v>36</v>
      </c>
      <c r="B11" s="4" t="s">
        <v>15</v>
      </c>
      <c r="C11" s="4"/>
      <c r="D11" s="4"/>
      <c r="E11" s="4"/>
      <c r="F11" s="4"/>
      <c r="G11" s="4"/>
      <c r="H11" s="4"/>
      <c r="I11" s="4"/>
      <c r="J11">
        <v>1995</v>
      </c>
      <c r="K11" s="4"/>
      <c r="L11" s="4" t="s">
        <v>80</v>
      </c>
      <c r="M11" s="1" t="s">
        <v>81</v>
      </c>
      <c r="N11">
        <v>5</v>
      </c>
      <c r="O11" s="24">
        <f>COMMASEPCOUNT(Articles[[#This Row],[Cited in]])</f>
        <v>1</v>
      </c>
      <c r="P11" s="26"/>
    </row>
    <row r="12" spans="1:16" ht="45">
      <c r="A12" s="2">
        <v>8</v>
      </c>
      <c r="B12" s="5" t="s">
        <v>19</v>
      </c>
      <c r="C12" s="5" t="s">
        <v>179</v>
      </c>
      <c r="D12" s="5" t="s">
        <v>89</v>
      </c>
      <c r="E12" s="5"/>
      <c r="F12" s="5"/>
      <c r="G12" s="5"/>
      <c r="H12" s="5"/>
      <c r="I12" s="5"/>
      <c r="J12" s="2">
        <v>1996</v>
      </c>
      <c r="K12" s="5"/>
      <c r="L12" s="5" t="s">
        <v>21</v>
      </c>
      <c r="M12" s="3" t="s">
        <v>20</v>
      </c>
      <c r="O12" s="24" t="str">
        <f>COMMASEPCOUNT(Articles[[#This Row],[Cited in]])</f>
        <v/>
      </c>
      <c r="P12" s="26" t="s">
        <v>87</v>
      </c>
    </row>
    <row r="13" spans="1:16" ht="30">
      <c r="A13">
        <v>24</v>
      </c>
      <c r="B13" s="4"/>
      <c r="C13" s="4"/>
      <c r="D13" s="4"/>
      <c r="E13" s="4"/>
      <c r="F13" s="4"/>
      <c r="G13" s="4"/>
      <c r="H13" s="4"/>
      <c r="I13" s="4"/>
      <c r="J13">
        <v>1996</v>
      </c>
      <c r="K13" s="4" t="s">
        <v>194</v>
      </c>
      <c r="L13" s="4" t="s">
        <v>190</v>
      </c>
      <c r="M13" s="1" t="s">
        <v>189</v>
      </c>
      <c r="N13">
        <v>26</v>
      </c>
      <c r="O13" s="24">
        <f>COMMASEPCOUNT(Articles[[#This Row],[Cited in]])</f>
        <v>1</v>
      </c>
      <c r="P13" s="26"/>
    </row>
    <row r="14" spans="1:16" ht="30">
      <c r="A14" s="2">
        <v>34</v>
      </c>
      <c r="B14" s="5" t="s">
        <v>122</v>
      </c>
      <c r="C14" s="5" t="s">
        <v>181</v>
      </c>
      <c r="D14" s="5" t="s">
        <v>95</v>
      </c>
      <c r="E14" s="4" t="s">
        <v>191</v>
      </c>
      <c r="F14" s="4" t="s">
        <v>192</v>
      </c>
      <c r="G14" s="4" t="s">
        <v>195</v>
      </c>
      <c r="H14" s="4" t="s">
        <v>193</v>
      </c>
      <c r="I14" s="4">
        <v>26</v>
      </c>
      <c r="J14" s="2">
        <v>1999</v>
      </c>
      <c r="K14" s="5" t="s">
        <v>197</v>
      </c>
      <c r="L14" s="5" t="s">
        <v>55</v>
      </c>
      <c r="M14" s="3" t="s">
        <v>76</v>
      </c>
      <c r="N14" s="2" t="s">
        <v>196</v>
      </c>
      <c r="O14" s="25">
        <f>COMMASEPCOUNT(Articles[[#This Row],[Cited in]])</f>
        <v>4</v>
      </c>
      <c r="P14" s="26"/>
    </row>
    <row r="15" spans="1:16" ht="30">
      <c r="A15" s="2">
        <v>45</v>
      </c>
      <c r="B15" s="5"/>
      <c r="C15" s="5" t="s">
        <v>179</v>
      </c>
      <c r="D15" s="5" t="s">
        <v>89</v>
      </c>
      <c r="E15" s="5"/>
      <c r="F15" s="5"/>
      <c r="G15" s="5"/>
      <c r="H15" s="5"/>
      <c r="I15" s="5"/>
      <c r="J15" s="2">
        <v>1999</v>
      </c>
      <c r="K15" s="5" t="s">
        <v>231</v>
      </c>
      <c r="L15" s="5" t="s">
        <v>230</v>
      </c>
      <c r="M15" s="1" t="s">
        <v>229</v>
      </c>
      <c r="N15" s="2"/>
      <c r="O15" s="25" t="str">
        <f>COMMASEPCOUNT(Articles[[#This Row],[Cited in]])</f>
        <v/>
      </c>
      <c r="P15" s="26"/>
    </row>
    <row r="16" spans="1:16" ht="90">
      <c r="A16">
        <v>4</v>
      </c>
      <c r="B16" s="5" t="s">
        <v>5</v>
      </c>
      <c r="C16" s="5" t="s">
        <v>100</v>
      </c>
      <c r="D16" s="5" t="s">
        <v>95</v>
      </c>
      <c r="E16" s="5">
        <v>9</v>
      </c>
      <c r="F16" s="5" t="s">
        <v>217</v>
      </c>
      <c r="G16" s="5" t="s">
        <v>103</v>
      </c>
      <c r="H16" s="5" t="s">
        <v>218</v>
      </c>
      <c r="I16" s="5" t="s">
        <v>100</v>
      </c>
      <c r="J16" s="2">
        <v>2000</v>
      </c>
      <c r="K16" s="5" t="s">
        <v>215</v>
      </c>
      <c r="L16" s="5" t="s">
        <v>12</v>
      </c>
      <c r="M16" s="3" t="s">
        <v>11</v>
      </c>
      <c r="O16" s="24" t="str">
        <f>COMMASEPCOUNT(Articles[[#This Row],[Cited in]])</f>
        <v/>
      </c>
      <c r="P16" s="26" t="s">
        <v>216</v>
      </c>
    </row>
    <row r="17" spans="1:16" ht="45">
      <c r="A17">
        <v>29</v>
      </c>
      <c r="B17" s="4" t="s">
        <v>58</v>
      </c>
      <c r="C17" s="4"/>
      <c r="D17" s="4"/>
      <c r="E17" s="4"/>
      <c r="F17" s="4"/>
      <c r="G17" s="4"/>
      <c r="H17" s="4"/>
      <c r="I17" s="4"/>
      <c r="J17">
        <v>2000</v>
      </c>
      <c r="K17" s="4"/>
      <c r="L17" s="4" t="s">
        <v>66</v>
      </c>
      <c r="M17" s="1" t="s">
        <v>65</v>
      </c>
      <c r="N17">
        <v>2</v>
      </c>
      <c r="O17" s="24">
        <f>COMMASEPCOUNT(Articles[[#This Row],[Cited in]])</f>
        <v>1</v>
      </c>
      <c r="P17" s="26"/>
    </row>
    <row r="18" spans="1:16" ht="45">
      <c r="A18" s="2">
        <v>15</v>
      </c>
      <c r="B18" s="5" t="s">
        <v>37</v>
      </c>
      <c r="C18" s="5"/>
      <c r="D18" s="5" t="s">
        <v>89</v>
      </c>
      <c r="E18" s="5">
        <v>10</v>
      </c>
      <c r="F18" s="5" t="s">
        <v>144</v>
      </c>
      <c r="G18" s="5"/>
      <c r="H18" s="5" t="s">
        <v>96</v>
      </c>
      <c r="I18" s="5"/>
      <c r="J18" s="2">
        <v>2001</v>
      </c>
      <c r="K18" s="5"/>
      <c r="L18" s="5" t="s">
        <v>36</v>
      </c>
      <c r="M18" s="3" t="s">
        <v>35</v>
      </c>
      <c r="O18" s="24" t="str">
        <f>COMMASEPCOUNT(Articles[[#This Row],[Cited in]])</f>
        <v/>
      </c>
      <c r="P18" s="26" t="s">
        <v>143</v>
      </c>
    </row>
    <row r="19" spans="1:16" ht="30">
      <c r="A19" s="2">
        <v>18</v>
      </c>
      <c r="B19" s="5" t="s">
        <v>9</v>
      </c>
      <c r="C19" s="5"/>
      <c r="D19" s="5"/>
      <c r="E19" s="5"/>
      <c r="F19" s="5"/>
      <c r="G19" s="5"/>
      <c r="H19" s="5"/>
      <c r="I19" s="5"/>
      <c r="J19" s="2">
        <v>2001</v>
      </c>
      <c r="K19" s="5"/>
      <c r="L19" s="5" t="s">
        <v>46</v>
      </c>
      <c r="M19" s="3" t="s">
        <v>45</v>
      </c>
      <c r="O19" s="24" t="str">
        <f>COMMASEPCOUNT(Articles[[#This Row],[Cited in]])</f>
        <v/>
      </c>
      <c r="P19" s="26"/>
    </row>
    <row r="20" spans="1:16" ht="30">
      <c r="A20" s="2">
        <v>19</v>
      </c>
      <c r="B20" s="5" t="s">
        <v>9</v>
      </c>
      <c r="C20" s="5"/>
      <c r="D20" s="5"/>
      <c r="E20" s="5"/>
      <c r="F20" s="5"/>
      <c r="G20" s="5"/>
      <c r="H20" s="5"/>
      <c r="I20" s="5"/>
      <c r="J20" s="2">
        <v>2001</v>
      </c>
      <c r="K20" s="5"/>
      <c r="L20" s="5" t="s">
        <v>47</v>
      </c>
      <c r="M20" s="3" t="s">
        <v>48</v>
      </c>
      <c r="O20" s="24" t="str">
        <f>COMMASEPCOUNT(Articles[[#This Row],[Cited in]])</f>
        <v/>
      </c>
      <c r="P20" s="26"/>
    </row>
    <row r="21" spans="1:16" ht="30">
      <c r="A21" s="2">
        <v>44</v>
      </c>
      <c r="B21" s="5"/>
      <c r="C21" s="5" t="s">
        <v>228</v>
      </c>
      <c r="D21" s="5" t="s">
        <v>89</v>
      </c>
      <c r="E21" s="5"/>
      <c r="F21" s="5"/>
      <c r="G21" s="5"/>
      <c r="H21" s="5"/>
      <c r="I21" s="5"/>
      <c r="J21" s="2">
        <v>2001</v>
      </c>
      <c r="K21" s="5" t="s">
        <v>227</v>
      </c>
      <c r="L21" s="5" t="s">
        <v>226</v>
      </c>
      <c r="M21" s="1" t="s">
        <v>225</v>
      </c>
      <c r="N21" s="2">
        <v>1</v>
      </c>
      <c r="O21" s="25">
        <f>COMMASEPCOUNT(Articles[[#This Row],[Cited in]])</f>
        <v>1</v>
      </c>
      <c r="P21" s="26"/>
    </row>
    <row r="22" spans="1:16" ht="60">
      <c r="A22" s="2">
        <v>7</v>
      </c>
      <c r="B22" s="5" t="s">
        <v>5</v>
      </c>
      <c r="C22" s="5"/>
      <c r="D22" s="5"/>
      <c r="E22" s="5"/>
      <c r="F22" s="5"/>
      <c r="G22" s="5"/>
      <c r="H22" s="5"/>
      <c r="I22" s="5"/>
      <c r="J22" s="2">
        <v>2002</v>
      </c>
      <c r="K22" s="5"/>
      <c r="L22" s="5" t="s">
        <v>18</v>
      </c>
      <c r="M22" s="3" t="s">
        <v>17</v>
      </c>
      <c r="O22" s="24" t="str">
        <f>COMMASEPCOUNT(Articles[[#This Row],[Cited in]])</f>
        <v/>
      </c>
      <c r="P22" s="26" t="s">
        <v>85</v>
      </c>
    </row>
    <row r="23" spans="1:16" ht="30">
      <c r="A23" s="2">
        <v>37</v>
      </c>
      <c r="B23" s="5" t="s">
        <v>15</v>
      </c>
      <c r="C23" s="5"/>
      <c r="D23" s="5"/>
      <c r="E23" s="5"/>
      <c r="F23" s="5"/>
      <c r="G23" s="5"/>
      <c r="H23" s="5"/>
      <c r="I23" s="5"/>
      <c r="J23" s="2">
        <v>2002</v>
      </c>
      <c r="K23" s="5"/>
      <c r="L23" s="5" t="s">
        <v>82</v>
      </c>
      <c r="M23" s="3" t="s">
        <v>83</v>
      </c>
      <c r="N23" s="2">
        <v>6</v>
      </c>
      <c r="O23" s="25">
        <f>COMMASEPCOUNT(Articles[[#This Row],[Cited in]])</f>
        <v>1</v>
      </c>
      <c r="P23" s="26"/>
    </row>
    <row r="24" spans="1:16" ht="30">
      <c r="A24">
        <v>35</v>
      </c>
      <c r="B24" s="4" t="s">
        <v>5</v>
      </c>
      <c r="C24" s="4"/>
      <c r="D24" s="4"/>
      <c r="E24" s="4"/>
      <c r="F24" s="4"/>
      <c r="G24" s="4"/>
      <c r="H24" s="4"/>
      <c r="I24" s="4"/>
      <c r="J24">
        <v>2003</v>
      </c>
      <c r="K24" s="4"/>
      <c r="L24" s="4" t="s">
        <v>78</v>
      </c>
      <c r="M24" s="1" t="s">
        <v>79</v>
      </c>
      <c r="O24" s="24" t="str">
        <f>COMMASEPCOUNT(Articles[[#This Row],[Cited in]])</f>
        <v/>
      </c>
      <c r="P24" s="26"/>
    </row>
    <row r="25" spans="1:16" ht="45">
      <c r="A25" s="2">
        <v>41</v>
      </c>
      <c r="B25" s="5" t="s">
        <v>5</v>
      </c>
      <c r="C25" s="5"/>
      <c r="D25" s="5"/>
      <c r="E25" s="5"/>
      <c r="F25" s="5"/>
      <c r="G25" s="5"/>
      <c r="H25" s="5"/>
      <c r="I25" s="5"/>
      <c r="J25" s="2">
        <v>2003</v>
      </c>
      <c r="K25" s="5" t="s">
        <v>200</v>
      </c>
      <c r="L25" s="5" t="s">
        <v>199</v>
      </c>
      <c r="M25" s="1" t="s">
        <v>198</v>
      </c>
      <c r="N25" s="2"/>
      <c r="O25" s="25" t="str">
        <f>COMMASEPCOUNT(Articles[[#This Row],[Cited in]])</f>
        <v/>
      </c>
      <c r="P25" s="26"/>
    </row>
    <row r="26" spans="1:16" ht="90">
      <c r="A26" s="2">
        <v>5</v>
      </c>
      <c r="B26" s="5" t="s">
        <v>15</v>
      </c>
      <c r="C26" s="5" t="s">
        <v>219</v>
      </c>
      <c r="D26" s="5" t="s">
        <v>95</v>
      </c>
      <c r="E26" s="5">
        <v>2</v>
      </c>
      <c r="F26" s="5" t="s">
        <v>144</v>
      </c>
      <c r="G26" s="5" t="s">
        <v>103</v>
      </c>
      <c r="H26" s="5" t="s">
        <v>221</v>
      </c>
      <c r="I26" s="5" t="s">
        <v>128</v>
      </c>
      <c r="J26" s="2">
        <v>2004</v>
      </c>
      <c r="K26" s="5" t="s">
        <v>232</v>
      </c>
      <c r="L26" s="5" t="s">
        <v>14</v>
      </c>
      <c r="M26" s="3" t="s">
        <v>13</v>
      </c>
      <c r="O26" s="24" t="str">
        <f>COMMASEPCOUNT(Articles[[#This Row],[Cited in]])</f>
        <v/>
      </c>
      <c r="P26" s="26" t="s">
        <v>223</v>
      </c>
    </row>
    <row r="27" spans="1:16" ht="240.75" customHeight="1">
      <c r="A27" s="2">
        <v>6</v>
      </c>
      <c r="B27" s="5" t="s">
        <v>15</v>
      </c>
      <c r="C27" s="5"/>
      <c r="D27" s="5"/>
      <c r="E27" s="5"/>
      <c r="F27" s="5"/>
      <c r="G27" s="5"/>
      <c r="H27" s="5"/>
      <c r="I27" s="5"/>
      <c r="J27" s="2">
        <v>2004</v>
      </c>
      <c r="K27" s="5"/>
      <c r="L27" s="5" t="s">
        <v>25</v>
      </c>
      <c r="M27" s="3" t="s">
        <v>16</v>
      </c>
      <c r="O27" s="24" t="str">
        <f>COMMASEPCOUNT(Articles[[#This Row],[Cited in]])</f>
        <v/>
      </c>
      <c r="P27" s="26" t="s">
        <v>233</v>
      </c>
    </row>
    <row r="28" spans="1:16" ht="45">
      <c r="A28" s="2">
        <v>13</v>
      </c>
      <c r="B28" s="5" t="s">
        <v>5</v>
      </c>
      <c r="C28" s="5"/>
      <c r="D28" s="5" t="s">
        <v>95</v>
      </c>
      <c r="E28" s="5">
        <v>16</v>
      </c>
      <c r="F28" s="5" t="s">
        <v>134</v>
      </c>
      <c r="G28" s="5"/>
      <c r="H28" s="5" t="s">
        <v>135</v>
      </c>
      <c r="I28" s="5" t="s">
        <v>106</v>
      </c>
      <c r="J28" s="2">
        <v>2004</v>
      </c>
      <c r="K28" s="5"/>
      <c r="L28" s="5" t="s">
        <v>31</v>
      </c>
      <c r="M28" s="3" t="s">
        <v>30</v>
      </c>
      <c r="O28" s="24" t="str">
        <f>COMMASEPCOUNT(Articles[[#This Row],[Cited in]])</f>
        <v/>
      </c>
      <c r="P28" s="26" t="s">
        <v>139</v>
      </c>
    </row>
    <row r="29" spans="1:16" ht="90">
      <c r="A29" s="2">
        <v>14</v>
      </c>
      <c r="B29" s="5" t="s">
        <v>34</v>
      </c>
      <c r="C29" s="5" t="s">
        <v>142</v>
      </c>
      <c r="D29" s="5" t="s">
        <v>141</v>
      </c>
      <c r="E29" s="5" t="s">
        <v>137</v>
      </c>
      <c r="F29" s="5" t="s">
        <v>138</v>
      </c>
      <c r="G29" s="5"/>
      <c r="H29" s="5" t="s">
        <v>96</v>
      </c>
      <c r="I29" s="5" t="s">
        <v>136</v>
      </c>
      <c r="J29" s="2">
        <v>2004</v>
      </c>
      <c r="K29" s="5"/>
      <c r="L29" s="5" t="s">
        <v>33</v>
      </c>
      <c r="M29" s="3" t="s">
        <v>32</v>
      </c>
      <c r="O29" s="24" t="str">
        <f>COMMASEPCOUNT(Articles[[#This Row],[Cited in]])</f>
        <v/>
      </c>
      <c r="P29" s="26" t="s">
        <v>140</v>
      </c>
    </row>
    <row r="30" spans="1:16" ht="45">
      <c r="A30" s="2">
        <v>17</v>
      </c>
      <c r="B30" s="5" t="s">
        <v>9</v>
      </c>
      <c r="C30" s="5"/>
      <c r="D30" s="5"/>
      <c r="E30" s="5"/>
      <c r="F30" s="5"/>
      <c r="G30" s="5"/>
      <c r="H30" s="5"/>
      <c r="I30" s="5"/>
      <c r="J30" s="2">
        <v>2004</v>
      </c>
      <c r="K30" s="5"/>
      <c r="L30" s="5" t="s">
        <v>44</v>
      </c>
      <c r="M30" s="3" t="s">
        <v>43</v>
      </c>
      <c r="O30" s="24" t="str">
        <f>COMMASEPCOUNT(Articles[[#This Row],[Cited in]])</f>
        <v/>
      </c>
      <c r="P30" s="26"/>
    </row>
    <row r="31" spans="1:16" ht="45">
      <c r="A31">
        <v>27</v>
      </c>
      <c r="B31" s="4" t="s">
        <v>5</v>
      </c>
      <c r="C31" s="4" t="s">
        <v>181</v>
      </c>
      <c r="D31" s="4" t="s">
        <v>95</v>
      </c>
      <c r="E31" s="4" t="s">
        <v>191</v>
      </c>
      <c r="F31" s="4" t="s">
        <v>192</v>
      </c>
      <c r="G31" s="4" t="s">
        <v>195</v>
      </c>
      <c r="H31" s="4" t="s">
        <v>193</v>
      </c>
      <c r="I31" s="4">
        <v>26</v>
      </c>
      <c r="J31">
        <v>2004</v>
      </c>
      <c r="K31" s="4" t="s">
        <v>194</v>
      </c>
      <c r="L31" s="4" t="s">
        <v>62</v>
      </c>
      <c r="M31" s="1" t="s">
        <v>61</v>
      </c>
      <c r="O31" s="24" t="str">
        <f>COMMASEPCOUNT(Articles[[#This Row],[Cited in]])</f>
        <v/>
      </c>
      <c r="P31" s="26" t="s">
        <v>235</v>
      </c>
    </row>
    <row r="32" spans="1:16" ht="30">
      <c r="A32">
        <v>31</v>
      </c>
      <c r="B32" s="4" t="s">
        <v>5</v>
      </c>
      <c r="C32" s="4"/>
      <c r="D32" s="4"/>
      <c r="E32" s="4"/>
      <c r="F32" s="4"/>
      <c r="G32" s="4"/>
      <c r="H32" s="4"/>
      <c r="I32" s="4"/>
      <c r="J32">
        <v>2004</v>
      </c>
      <c r="K32" s="4"/>
      <c r="L32" s="4" t="s">
        <v>70</v>
      </c>
      <c r="M32" s="1" t="s">
        <v>69</v>
      </c>
      <c r="N32">
        <v>2</v>
      </c>
      <c r="O32" s="24">
        <f>COMMASEPCOUNT(Articles[[#This Row],[Cited in]])</f>
        <v>1</v>
      </c>
      <c r="P32" s="26"/>
    </row>
    <row r="33" spans="1:16" ht="45">
      <c r="A33">
        <v>33</v>
      </c>
      <c r="B33" s="4" t="s">
        <v>5</v>
      </c>
      <c r="C33" s="4" t="s">
        <v>181</v>
      </c>
      <c r="D33" s="4" t="s">
        <v>95</v>
      </c>
      <c r="E33" s="4" t="s">
        <v>191</v>
      </c>
      <c r="F33" s="4" t="s">
        <v>192</v>
      </c>
      <c r="G33" s="4" t="s">
        <v>195</v>
      </c>
      <c r="H33" s="4" t="s">
        <v>193</v>
      </c>
      <c r="I33" s="4">
        <v>26</v>
      </c>
      <c r="J33">
        <v>2004</v>
      </c>
      <c r="K33" s="4" t="s">
        <v>194</v>
      </c>
      <c r="L33" s="4" t="s">
        <v>74</v>
      </c>
      <c r="M33" s="1" t="s">
        <v>75</v>
      </c>
      <c r="N33" t="s">
        <v>185</v>
      </c>
      <c r="O33" s="24">
        <f>COMMASEPCOUNT(Articles[[#This Row],[Cited in]])</f>
        <v>4</v>
      </c>
      <c r="P33" s="26" t="s">
        <v>201</v>
      </c>
    </row>
    <row r="34" spans="1:16">
      <c r="A34" s="2">
        <v>40</v>
      </c>
      <c r="B34" s="5" t="s">
        <v>122</v>
      </c>
      <c r="C34" s="5"/>
      <c r="D34" s="5" t="s">
        <v>95</v>
      </c>
      <c r="E34" s="5"/>
      <c r="F34" s="5"/>
      <c r="G34" s="5"/>
      <c r="H34" s="5"/>
      <c r="I34" s="5"/>
      <c r="J34" s="2">
        <v>2004</v>
      </c>
      <c r="K34" s="5" t="s">
        <v>168</v>
      </c>
      <c r="L34" s="5" t="s">
        <v>169</v>
      </c>
      <c r="M34" t="s">
        <v>170</v>
      </c>
      <c r="N34" s="2">
        <v>22</v>
      </c>
      <c r="O34" s="25">
        <f>COMMASEPCOUNT(Articles[[#This Row],[Cited in]])</f>
        <v>1</v>
      </c>
      <c r="P34" s="26"/>
    </row>
    <row r="35" spans="1:16" ht="60">
      <c r="A35" s="2">
        <v>12</v>
      </c>
      <c r="B35" s="5" t="s">
        <v>19</v>
      </c>
      <c r="C35" s="5" t="s">
        <v>129</v>
      </c>
      <c r="D35" s="5" t="s">
        <v>89</v>
      </c>
      <c r="E35" s="5">
        <v>2</v>
      </c>
      <c r="F35" s="5" t="s">
        <v>130</v>
      </c>
      <c r="G35" s="5"/>
      <c r="H35" s="5" t="s">
        <v>132</v>
      </c>
      <c r="I35" s="5" t="s">
        <v>131</v>
      </c>
      <c r="J35" s="2">
        <v>2005</v>
      </c>
      <c r="K35" s="5"/>
      <c r="L35" s="5" t="s">
        <v>28</v>
      </c>
      <c r="M35" s="3" t="s">
        <v>29</v>
      </c>
      <c r="O35" s="24" t="str">
        <f>COMMASEPCOUNT(Articles[[#This Row],[Cited in]])</f>
        <v/>
      </c>
      <c r="P35" s="26" t="s">
        <v>133</v>
      </c>
    </row>
    <row r="36" spans="1:16" ht="60">
      <c r="A36">
        <v>1</v>
      </c>
      <c r="B36" s="4" t="s">
        <v>97</v>
      </c>
      <c r="C36" s="4"/>
      <c r="D36" s="4" t="s">
        <v>89</v>
      </c>
      <c r="E36" s="4"/>
      <c r="F36" s="4"/>
      <c r="G36" s="4" t="s">
        <v>102</v>
      </c>
      <c r="H36" s="4" t="s">
        <v>96</v>
      </c>
      <c r="I36" s="4" t="s">
        <v>100</v>
      </c>
      <c r="J36">
        <v>2006</v>
      </c>
      <c r="K36" s="4" t="s">
        <v>214</v>
      </c>
      <c r="L36" s="4" t="s">
        <v>6</v>
      </c>
      <c r="M36" s="1" t="s">
        <v>4</v>
      </c>
      <c r="O36" s="24" t="str">
        <f>COMMASEPCOUNT(Articles[[#This Row],[Cited in]])</f>
        <v/>
      </c>
      <c r="P36" s="26" t="s">
        <v>222</v>
      </c>
    </row>
    <row r="37" spans="1:16" ht="45">
      <c r="A37" s="2">
        <v>11</v>
      </c>
      <c r="B37" s="5" t="s">
        <v>15</v>
      </c>
      <c r="C37" s="5" t="s">
        <v>107</v>
      </c>
      <c r="D37" s="5" t="s">
        <v>89</v>
      </c>
      <c r="E37" s="5">
        <v>16</v>
      </c>
      <c r="F37" s="5" t="s">
        <v>105</v>
      </c>
      <c r="G37" s="5"/>
      <c r="H37" s="5"/>
      <c r="I37" s="5" t="s">
        <v>106</v>
      </c>
      <c r="J37" s="2">
        <v>2006</v>
      </c>
      <c r="K37" s="5"/>
      <c r="L37" s="5" t="s">
        <v>27</v>
      </c>
      <c r="M37" s="3" t="s">
        <v>26</v>
      </c>
      <c r="O37" s="24" t="str">
        <f>COMMASEPCOUNT(Articles[[#This Row],[Cited in]])</f>
        <v/>
      </c>
      <c r="P37" s="26"/>
    </row>
    <row r="38" spans="1:16" ht="135">
      <c r="A38" s="2">
        <v>25</v>
      </c>
      <c r="B38" s="5" t="s">
        <v>58</v>
      </c>
      <c r="C38" s="5" t="s">
        <v>180</v>
      </c>
      <c r="D38" s="5" t="s">
        <v>176</v>
      </c>
      <c r="E38" s="5">
        <v>1</v>
      </c>
      <c r="F38" s="5" t="s">
        <v>177</v>
      </c>
      <c r="G38" s="5" t="s">
        <v>178</v>
      </c>
      <c r="H38" s="5" t="s">
        <v>173</v>
      </c>
      <c r="I38" s="5" t="s">
        <v>172</v>
      </c>
      <c r="J38" s="2">
        <v>2006</v>
      </c>
      <c r="K38" s="3" t="s">
        <v>174</v>
      </c>
      <c r="L38" s="5" t="s">
        <v>57</v>
      </c>
      <c r="M38" s="3" t="s">
        <v>56</v>
      </c>
      <c r="O38" s="24" t="str">
        <f>COMMASEPCOUNT(Articles[[#This Row],[Cited in]])</f>
        <v/>
      </c>
      <c r="P38" s="26" t="s">
        <v>175</v>
      </c>
    </row>
    <row r="39" spans="1:16" ht="210">
      <c r="A39">
        <v>26</v>
      </c>
      <c r="B39" s="4" t="s">
        <v>5</v>
      </c>
      <c r="C39" s="4" t="s">
        <v>181</v>
      </c>
      <c r="D39" s="4" t="s">
        <v>95</v>
      </c>
      <c r="E39" s="4">
        <v>6</v>
      </c>
      <c r="F39" s="4" t="s">
        <v>184</v>
      </c>
      <c r="G39" s="4" t="s">
        <v>103</v>
      </c>
      <c r="H39" s="4" t="s">
        <v>220</v>
      </c>
      <c r="I39" s="4" t="s">
        <v>181</v>
      </c>
      <c r="J39">
        <v>2006</v>
      </c>
      <c r="K39" s="3" t="s">
        <v>155</v>
      </c>
      <c r="L39" s="4" t="s">
        <v>60</v>
      </c>
      <c r="M39" s="1" t="s">
        <v>59</v>
      </c>
      <c r="O39" s="24" t="str">
        <f>COMMASEPCOUNT(Articles[[#This Row],[Cited in]])</f>
        <v/>
      </c>
      <c r="P39" s="26" t="s">
        <v>183</v>
      </c>
    </row>
    <row r="40" spans="1:16" ht="45">
      <c r="A40" s="2">
        <v>39</v>
      </c>
      <c r="B40" s="5" t="s">
        <v>123</v>
      </c>
      <c r="C40" s="5" t="s">
        <v>126</v>
      </c>
      <c r="D40" s="5" t="s">
        <v>95</v>
      </c>
      <c r="E40" s="5">
        <v>1</v>
      </c>
      <c r="F40" s="5" t="s">
        <v>127</v>
      </c>
      <c r="G40" s="5"/>
      <c r="H40" s="5"/>
      <c r="I40" s="5" t="s">
        <v>128</v>
      </c>
      <c r="J40" s="2">
        <v>2006</v>
      </c>
      <c r="K40" s="5" t="s">
        <v>157</v>
      </c>
      <c r="L40" s="5" t="s">
        <v>124</v>
      </c>
      <c r="M40" s="3" t="s">
        <v>125</v>
      </c>
      <c r="N40" s="2"/>
      <c r="O40" s="25" t="str">
        <f>COMMASEPCOUNT(Articles[[#This Row],[Cited in]])</f>
        <v/>
      </c>
      <c r="P40" s="26"/>
    </row>
    <row r="41" spans="1:16" ht="45">
      <c r="A41" s="2">
        <v>42</v>
      </c>
      <c r="B41" s="5" t="s">
        <v>202</v>
      </c>
      <c r="C41" s="5"/>
      <c r="D41" s="5"/>
      <c r="E41" s="5"/>
      <c r="F41" s="5"/>
      <c r="G41" s="5"/>
      <c r="H41" s="5"/>
      <c r="I41" s="5"/>
      <c r="J41" s="2">
        <v>2006</v>
      </c>
      <c r="K41" s="5" t="s">
        <v>205</v>
      </c>
      <c r="L41" s="5" t="s">
        <v>204</v>
      </c>
      <c r="M41" s="1" t="s">
        <v>203</v>
      </c>
      <c r="N41" s="2"/>
      <c r="O41" s="25" t="str">
        <f>COMMASEPCOUNT(Articles[[#This Row],[Cited in]])</f>
        <v/>
      </c>
      <c r="P41" s="26"/>
    </row>
    <row r="42" spans="1:16" ht="45">
      <c r="A42">
        <v>2</v>
      </c>
      <c r="B42" s="5" t="s">
        <v>5</v>
      </c>
      <c r="C42" s="5" t="s">
        <v>209</v>
      </c>
      <c r="D42" s="5" t="s">
        <v>89</v>
      </c>
      <c r="E42" s="5">
        <v>75</v>
      </c>
      <c r="F42" s="5" t="s">
        <v>210</v>
      </c>
      <c r="G42" s="5" t="s">
        <v>103</v>
      </c>
      <c r="H42" s="5" t="s">
        <v>212</v>
      </c>
      <c r="I42" s="5" t="s">
        <v>209</v>
      </c>
      <c r="J42" s="2">
        <v>2007</v>
      </c>
      <c r="K42" s="5" t="s">
        <v>213</v>
      </c>
      <c r="L42" s="5" t="s">
        <v>8</v>
      </c>
      <c r="M42" s="3" t="s">
        <v>7</v>
      </c>
      <c r="O42" s="24" t="str">
        <f>COMMASEPCOUNT(Articles[[#This Row],[Cited in]])</f>
        <v/>
      </c>
      <c r="P42" s="26" t="s">
        <v>211</v>
      </c>
    </row>
    <row r="43" spans="1:16" ht="60">
      <c r="A43">
        <v>3</v>
      </c>
      <c r="B43" s="5" t="s">
        <v>9</v>
      </c>
      <c r="C43" s="5"/>
      <c r="D43" s="5"/>
      <c r="E43" s="5"/>
      <c r="F43" s="5"/>
      <c r="G43" s="5"/>
      <c r="H43" s="5"/>
      <c r="I43" s="5"/>
      <c r="J43" s="2">
        <v>2007</v>
      </c>
      <c r="K43" s="5"/>
      <c r="L43" s="5" t="s">
        <v>10</v>
      </c>
      <c r="M43" s="3" t="s">
        <v>86</v>
      </c>
      <c r="O43" s="24" t="str">
        <f>COMMASEPCOUNT(Articles[[#This Row],[Cited in]])</f>
        <v/>
      </c>
      <c r="P43" s="26"/>
    </row>
    <row r="44" spans="1:16" ht="75">
      <c r="A44">
        <v>20</v>
      </c>
      <c r="B44" s="4" t="s">
        <v>122</v>
      </c>
      <c r="C44" s="4"/>
      <c r="D44" s="4" t="s">
        <v>95</v>
      </c>
      <c r="E44" s="4">
        <v>2</v>
      </c>
      <c r="F44" s="4" t="s">
        <v>145</v>
      </c>
      <c r="G44" s="4" t="s">
        <v>146</v>
      </c>
      <c r="H44" s="4" t="s">
        <v>135</v>
      </c>
      <c r="I44" s="4" t="s">
        <v>128</v>
      </c>
      <c r="J44">
        <v>2007</v>
      </c>
      <c r="K44" s="4" t="s">
        <v>154</v>
      </c>
      <c r="L44" s="4" t="s">
        <v>51</v>
      </c>
      <c r="M44" s="1" t="s">
        <v>50</v>
      </c>
      <c r="O44" s="24" t="str">
        <f>COMMASEPCOUNT(Articles[[#This Row],[Cited in]])</f>
        <v/>
      </c>
      <c r="P44" s="26" t="s">
        <v>147</v>
      </c>
    </row>
    <row r="45" spans="1:16" ht="105">
      <c r="A45">
        <v>21</v>
      </c>
      <c r="B45" s="4" t="s">
        <v>122</v>
      </c>
      <c r="C45" s="4"/>
      <c r="D45" s="4" t="s">
        <v>95</v>
      </c>
      <c r="E45" s="4">
        <v>6</v>
      </c>
      <c r="F45" s="4" t="s">
        <v>161</v>
      </c>
      <c r="G45" s="4" t="s">
        <v>146</v>
      </c>
      <c r="H45" s="4" t="s">
        <v>159</v>
      </c>
      <c r="I45" s="4" t="s">
        <v>160</v>
      </c>
      <c r="J45">
        <v>2007</v>
      </c>
      <c r="K45" s="4" t="s">
        <v>155</v>
      </c>
      <c r="L45" s="4" t="s">
        <v>53</v>
      </c>
      <c r="M45" s="1" t="s">
        <v>52</v>
      </c>
      <c r="O45" s="24" t="str">
        <f>COMMASEPCOUNT(Articles[[#This Row],[Cited in]])</f>
        <v/>
      </c>
      <c r="P45" s="26" t="s">
        <v>171</v>
      </c>
    </row>
    <row r="46" spans="1:16" ht="45">
      <c r="A46">
        <v>22</v>
      </c>
      <c r="B46" s="4" t="s">
        <v>122</v>
      </c>
      <c r="C46" s="4" t="s">
        <v>163</v>
      </c>
      <c r="D46" s="4" t="s">
        <v>162</v>
      </c>
      <c r="E46" s="4">
        <v>24</v>
      </c>
      <c r="F46" s="4" t="s">
        <v>164</v>
      </c>
      <c r="G46" s="4" t="s">
        <v>103</v>
      </c>
      <c r="H46" s="4" t="s">
        <v>182</v>
      </c>
      <c r="I46" s="4" t="s">
        <v>128</v>
      </c>
      <c r="J46">
        <v>2007</v>
      </c>
      <c r="K46" s="4"/>
      <c r="L46" s="4" t="s">
        <v>55</v>
      </c>
      <c r="M46" s="1" t="s">
        <v>54</v>
      </c>
      <c r="O46" s="24" t="str">
        <f>COMMASEPCOUNT(Articles[[#This Row],[Cited in]])</f>
        <v/>
      </c>
      <c r="P46" s="26" t="s">
        <v>165</v>
      </c>
    </row>
    <row r="47" spans="1:16" ht="30">
      <c r="A47">
        <v>23</v>
      </c>
      <c r="B47" s="4"/>
      <c r="C47" s="4"/>
      <c r="D47" s="4"/>
      <c r="E47" s="4"/>
      <c r="F47" s="4"/>
      <c r="G47" s="4"/>
      <c r="H47" s="4"/>
      <c r="I47" s="4"/>
      <c r="J47">
        <v>2007</v>
      </c>
      <c r="K47" s="4" t="s">
        <v>188</v>
      </c>
      <c r="L47" s="4" t="s">
        <v>187</v>
      </c>
      <c r="M47" s="1" t="s">
        <v>186</v>
      </c>
      <c r="O47" s="24" t="str">
        <f>COMMASEPCOUNT(Articles[[#This Row],[Cited in]])</f>
        <v/>
      </c>
      <c r="P47" s="26"/>
    </row>
    <row r="48" spans="1:16" ht="75">
      <c r="A48" s="2">
        <v>38</v>
      </c>
      <c r="B48" s="5" t="s">
        <v>122</v>
      </c>
      <c r="C48" s="5" t="s">
        <v>120</v>
      </c>
      <c r="D48" s="5" t="s">
        <v>89</v>
      </c>
      <c r="E48" s="5">
        <v>1</v>
      </c>
      <c r="F48" s="5" t="s">
        <v>118</v>
      </c>
      <c r="G48" s="5" t="s">
        <v>102</v>
      </c>
      <c r="H48" s="5" t="s">
        <v>96</v>
      </c>
      <c r="I48" s="5" t="s">
        <v>119</v>
      </c>
      <c r="J48" s="2">
        <v>2007</v>
      </c>
      <c r="K48" s="5"/>
      <c r="L48" s="5" t="s">
        <v>117</v>
      </c>
      <c r="M48" s="3" t="s">
        <v>116</v>
      </c>
      <c r="N48" s="2"/>
      <c r="O48" s="25" t="str">
        <f>COMMASEPCOUNT(Articles[[#This Row],[Cited in]])</f>
        <v/>
      </c>
      <c r="P48" s="26" t="s">
        <v>121</v>
      </c>
    </row>
    <row r="49" spans="1:16">
      <c r="A49" t="s">
        <v>41</v>
      </c>
      <c r="B49" s="4"/>
      <c r="C49" s="4"/>
      <c r="D49" s="4"/>
      <c r="E49" s="4"/>
      <c r="F49" s="4"/>
      <c r="G49" s="4"/>
      <c r="H49" s="4"/>
      <c r="I49" s="4"/>
      <c r="L49" s="4"/>
      <c r="M49" s="4">
        <f>SUBTOTAL(103,[Title])</f>
        <v>47</v>
      </c>
      <c r="N49" s="4"/>
      <c r="P49" s="4"/>
    </row>
    <row r="50" spans="1:16">
      <c r="B50" s="4"/>
      <c r="C50" s="4"/>
      <c r="D50" s="4"/>
      <c r="E50" s="4"/>
      <c r="F50" s="4"/>
      <c r="G50" s="4"/>
      <c r="H50" s="4"/>
      <c r="I50" s="4"/>
      <c r="L50" s="4"/>
      <c r="M50" s="1"/>
      <c r="O50" s="24"/>
      <c r="P50" s="26"/>
    </row>
    <row r="51" spans="1:16">
      <c r="A51" s="2"/>
      <c r="B51" s="5"/>
      <c r="C51" s="5"/>
      <c r="D51" s="5"/>
      <c r="E51" s="5"/>
      <c r="F51" s="5"/>
      <c r="G51" s="5"/>
      <c r="H51" s="5"/>
      <c r="I51" s="5"/>
      <c r="J51" s="2"/>
      <c r="K51" s="2"/>
      <c r="L51" s="5"/>
      <c r="M51" s="3"/>
      <c r="N51" s="2"/>
      <c r="O51" s="25"/>
      <c r="P51" s="27"/>
    </row>
  </sheetData>
  <pageMargins left="0.7" right="0.7" top="0.75" bottom="0.75" header="0.3" footer="0.3"/>
  <pageSetup paperSize="9" scale="71" orientation="landscape" r:id="rId1"/>
  <legacyDrawing r:id="rId2"/>
  <tableParts count="1">
    <tablePart r:id="rId3"/>
  </tableParts>
</worksheet>
</file>

<file path=xl/worksheets/sheet2.xml><?xml version="1.0" encoding="utf-8"?>
<worksheet xmlns="http://schemas.openxmlformats.org/spreadsheetml/2006/main" xmlns:r="http://schemas.openxmlformats.org/officeDocument/2006/relationships">
  <sheetPr codeName="Ark2"/>
  <dimension ref="A3:T19"/>
  <sheetViews>
    <sheetView workbookViewId="0">
      <selection activeCell="B4" sqref="B4"/>
    </sheetView>
  </sheetViews>
  <sheetFormatPr defaultRowHeight="15"/>
  <cols>
    <col min="1" max="1" width="32.140625" bestFit="1" customWidth="1"/>
    <col min="2" max="2" width="17.7109375" bestFit="1" customWidth="1"/>
    <col min="3" max="19" width="5" bestFit="1" customWidth="1"/>
    <col min="20" max="20" width="16" bestFit="1" customWidth="1"/>
  </cols>
  <sheetData>
    <row r="3" spans="1:20">
      <c r="A3" s="9" t="s">
        <v>167</v>
      </c>
      <c r="B3" s="9" t="s">
        <v>40</v>
      </c>
      <c r="C3" s="7"/>
      <c r="D3" s="7"/>
      <c r="E3" s="7"/>
      <c r="F3" s="7"/>
      <c r="G3" s="7"/>
      <c r="H3" s="7"/>
      <c r="I3" s="7"/>
      <c r="J3" s="7"/>
      <c r="K3" s="7"/>
      <c r="L3" s="7"/>
      <c r="M3" s="7"/>
      <c r="N3" s="7"/>
      <c r="O3" s="7"/>
      <c r="P3" s="7"/>
      <c r="Q3" s="7"/>
      <c r="R3" s="7"/>
      <c r="S3" s="7"/>
      <c r="T3" s="8"/>
    </row>
    <row r="4" spans="1:20">
      <c r="A4" s="9" t="s">
        <v>1</v>
      </c>
      <c r="B4" s="6">
        <v>1952</v>
      </c>
      <c r="C4" s="10">
        <v>1958</v>
      </c>
      <c r="D4" s="10">
        <v>1968</v>
      </c>
      <c r="E4" s="10">
        <v>1975</v>
      </c>
      <c r="F4" s="10">
        <v>1977</v>
      </c>
      <c r="G4" s="10">
        <v>1986</v>
      </c>
      <c r="H4" s="10">
        <v>1991</v>
      </c>
      <c r="I4" s="10">
        <v>1995</v>
      </c>
      <c r="J4" s="10">
        <v>1996</v>
      </c>
      <c r="K4" s="10">
        <v>1999</v>
      </c>
      <c r="L4" s="10">
        <v>2000</v>
      </c>
      <c r="M4" s="10">
        <v>2001</v>
      </c>
      <c r="N4" s="10">
        <v>2002</v>
      </c>
      <c r="O4" s="10">
        <v>2003</v>
      </c>
      <c r="P4" s="10">
        <v>2004</v>
      </c>
      <c r="Q4" s="10">
        <v>2005</v>
      </c>
      <c r="R4" s="10">
        <v>2006</v>
      </c>
      <c r="S4" s="10">
        <v>2007</v>
      </c>
      <c r="T4" s="11" t="s">
        <v>42</v>
      </c>
    </row>
    <row r="5" spans="1:20">
      <c r="A5" s="12" t="s">
        <v>9</v>
      </c>
      <c r="B5" s="13"/>
      <c r="C5" s="14"/>
      <c r="D5" s="14"/>
      <c r="E5" s="14"/>
      <c r="F5" s="14"/>
      <c r="G5" s="14"/>
      <c r="H5" s="14"/>
      <c r="I5" s="14"/>
      <c r="J5" s="14"/>
      <c r="K5" s="14"/>
      <c r="L5" s="14"/>
      <c r="M5" s="14">
        <v>2</v>
      </c>
      <c r="N5" s="14"/>
      <c r="O5" s="14"/>
      <c r="P5" s="14">
        <v>1</v>
      </c>
      <c r="Q5" s="14"/>
      <c r="R5" s="14"/>
      <c r="S5" s="14">
        <v>1</v>
      </c>
      <c r="T5" s="15">
        <v>4</v>
      </c>
    </row>
    <row r="6" spans="1:20">
      <c r="A6" s="16" t="s">
        <v>123</v>
      </c>
      <c r="B6" s="17"/>
      <c r="C6" s="18"/>
      <c r="D6" s="18"/>
      <c r="E6" s="18"/>
      <c r="F6" s="18"/>
      <c r="G6" s="18"/>
      <c r="H6" s="18"/>
      <c r="I6" s="18"/>
      <c r="J6" s="18"/>
      <c r="K6" s="18"/>
      <c r="L6" s="18"/>
      <c r="M6" s="18"/>
      <c r="N6" s="18"/>
      <c r="O6" s="18"/>
      <c r="P6" s="18"/>
      <c r="Q6" s="18"/>
      <c r="R6" s="18">
        <v>1</v>
      </c>
      <c r="S6" s="18"/>
      <c r="T6" s="19">
        <v>1</v>
      </c>
    </row>
    <row r="7" spans="1:20">
      <c r="A7" s="16" t="s">
        <v>19</v>
      </c>
      <c r="B7" s="17"/>
      <c r="C7" s="18"/>
      <c r="D7" s="18">
        <v>1</v>
      </c>
      <c r="E7" s="18"/>
      <c r="F7" s="18"/>
      <c r="G7" s="18"/>
      <c r="H7" s="18"/>
      <c r="I7" s="18"/>
      <c r="J7" s="18">
        <v>1</v>
      </c>
      <c r="K7" s="18"/>
      <c r="L7" s="18"/>
      <c r="M7" s="18"/>
      <c r="N7" s="18"/>
      <c r="O7" s="18"/>
      <c r="P7" s="18"/>
      <c r="Q7" s="18">
        <v>1</v>
      </c>
      <c r="R7" s="18"/>
      <c r="S7" s="18"/>
      <c r="T7" s="19">
        <v>3</v>
      </c>
    </row>
    <row r="8" spans="1:20">
      <c r="A8" s="16" t="s">
        <v>5</v>
      </c>
      <c r="B8" s="17"/>
      <c r="C8" s="18"/>
      <c r="D8" s="18"/>
      <c r="E8" s="18"/>
      <c r="F8" s="18"/>
      <c r="G8" s="18"/>
      <c r="H8" s="18"/>
      <c r="I8" s="18"/>
      <c r="J8" s="18"/>
      <c r="K8" s="18"/>
      <c r="L8" s="18">
        <v>1</v>
      </c>
      <c r="M8" s="18"/>
      <c r="N8" s="18">
        <v>1</v>
      </c>
      <c r="O8" s="18">
        <v>1</v>
      </c>
      <c r="P8" s="18">
        <v>4</v>
      </c>
      <c r="Q8" s="18">
        <v>1</v>
      </c>
      <c r="R8" s="18">
        <v>1</v>
      </c>
      <c r="S8" s="18">
        <v>1</v>
      </c>
      <c r="T8" s="19">
        <v>10</v>
      </c>
    </row>
    <row r="9" spans="1:20">
      <c r="A9" s="16" t="s">
        <v>77</v>
      </c>
      <c r="B9" s="17"/>
      <c r="C9" s="18"/>
      <c r="D9" s="18"/>
      <c r="E9" s="18"/>
      <c r="F9" s="18"/>
      <c r="G9" s="18"/>
      <c r="H9" s="18"/>
      <c r="I9" s="18"/>
      <c r="J9" s="18"/>
      <c r="K9" s="18">
        <v>1</v>
      </c>
      <c r="L9" s="18"/>
      <c r="M9" s="18"/>
      <c r="N9" s="18"/>
      <c r="O9" s="18"/>
      <c r="P9" s="18"/>
      <c r="Q9" s="18"/>
      <c r="R9" s="18"/>
      <c r="S9" s="18">
        <v>1</v>
      </c>
      <c r="T9" s="19">
        <v>2</v>
      </c>
    </row>
    <row r="10" spans="1:20">
      <c r="A10" s="16" t="s">
        <v>15</v>
      </c>
      <c r="B10" s="17"/>
      <c r="C10" s="18"/>
      <c r="D10" s="18"/>
      <c r="E10" s="18">
        <v>1</v>
      </c>
      <c r="F10" s="18"/>
      <c r="G10" s="18"/>
      <c r="H10" s="18">
        <v>1</v>
      </c>
      <c r="I10" s="18">
        <v>1</v>
      </c>
      <c r="J10" s="18"/>
      <c r="K10" s="18"/>
      <c r="L10" s="18"/>
      <c r="M10" s="18"/>
      <c r="N10" s="18">
        <v>1</v>
      </c>
      <c r="O10" s="18"/>
      <c r="P10" s="18">
        <v>2</v>
      </c>
      <c r="Q10" s="18"/>
      <c r="R10" s="18">
        <v>1</v>
      </c>
      <c r="S10" s="18"/>
      <c r="T10" s="19">
        <v>7</v>
      </c>
    </row>
    <row r="11" spans="1:20">
      <c r="A11" s="16" t="s">
        <v>71</v>
      </c>
      <c r="B11" s="17"/>
      <c r="C11" s="18"/>
      <c r="D11" s="18"/>
      <c r="E11" s="18"/>
      <c r="F11" s="18">
        <v>1</v>
      </c>
      <c r="G11" s="18"/>
      <c r="H11" s="18"/>
      <c r="I11" s="18"/>
      <c r="J11" s="18"/>
      <c r="K11" s="18"/>
      <c r="L11" s="18"/>
      <c r="M11" s="18"/>
      <c r="N11" s="18"/>
      <c r="O11" s="18"/>
      <c r="P11" s="18"/>
      <c r="Q11" s="18"/>
      <c r="R11" s="18"/>
      <c r="S11" s="18"/>
      <c r="T11" s="19">
        <v>1</v>
      </c>
    </row>
    <row r="12" spans="1:20">
      <c r="A12" s="16" t="s">
        <v>37</v>
      </c>
      <c r="B12" s="17"/>
      <c r="C12" s="18"/>
      <c r="D12" s="18"/>
      <c r="E12" s="18"/>
      <c r="F12" s="18"/>
      <c r="G12" s="18"/>
      <c r="H12" s="18"/>
      <c r="I12" s="18"/>
      <c r="J12" s="18"/>
      <c r="K12" s="18"/>
      <c r="L12" s="18"/>
      <c r="M12" s="18">
        <v>1</v>
      </c>
      <c r="N12" s="18"/>
      <c r="O12" s="18"/>
      <c r="P12" s="18"/>
      <c r="Q12" s="18"/>
      <c r="R12" s="18"/>
      <c r="S12" s="18"/>
      <c r="T12" s="19">
        <v>1</v>
      </c>
    </row>
    <row r="13" spans="1:20">
      <c r="A13" s="16" t="s">
        <v>122</v>
      </c>
      <c r="B13" s="17"/>
      <c r="C13" s="18"/>
      <c r="D13" s="18"/>
      <c r="E13" s="18"/>
      <c r="F13" s="18"/>
      <c r="G13" s="18"/>
      <c r="H13" s="18"/>
      <c r="I13" s="18"/>
      <c r="J13" s="18"/>
      <c r="K13" s="18"/>
      <c r="L13" s="18"/>
      <c r="M13" s="18"/>
      <c r="N13" s="18"/>
      <c r="O13" s="18"/>
      <c r="P13" s="18"/>
      <c r="Q13" s="18"/>
      <c r="R13" s="18"/>
      <c r="S13" s="18">
        <v>5</v>
      </c>
      <c r="T13" s="19">
        <v>5</v>
      </c>
    </row>
    <row r="14" spans="1:20">
      <c r="A14" s="16" t="s">
        <v>34</v>
      </c>
      <c r="B14" s="17"/>
      <c r="C14" s="18"/>
      <c r="D14" s="18"/>
      <c r="E14" s="18"/>
      <c r="F14" s="18"/>
      <c r="G14" s="18"/>
      <c r="H14" s="18"/>
      <c r="I14" s="18"/>
      <c r="J14" s="18"/>
      <c r="K14" s="18"/>
      <c r="L14" s="18"/>
      <c r="M14" s="18"/>
      <c r="N14" s="18"/>
      <c r="O14" s="18"/>
      <c r="P14" s="18">
        <v>1</v>
      </c>
      <c r="Q14" s="18"/>
      <c r="R14" s="18"/>
      <c r="S14" s="18"/>
      <c r="T14" s="19">
        <v>1</v>
      </c>
    </row>
    <row r="15" spans="1:20">
      <c r="A15" s="16" t="s">
        <v>58</v>
      </c>
      <c r="B15" s="17"/>
      <c r="C15" s="18"/>
      <c r="D15" s="18"/>
      <c r="E15" s="18"/>
      <c r="F15" s="18"/>
      <c r="G15" s="18"/>
      <c r="H15" s="18"/>
      <c r="I15" s="18"/>
      <c r="J15" s="18"/>
      <c r="K15" s="18"/>
      <c r="L15" s="18">
        <v>1</v>
      </c>
      <c r="M15" s="18"/>
      <c r="N15" s="18"/>
      <c r="O15" s="18"/>
      <c r="P15" s="18"/>
      <c r="Q15" s="18"/>
      <c r="R15" s="18">
        <v>1</v>
      </c>
      <c r="S15" s="18"/>
      <c r="T15" s="19">
        <v>2</v>
      </c>
    </row>
    <row r="16" spans="1:20">
      <c r="A16" s="16" t="s">
        <v>108</v>
      </c>
      <c r="B16" s="17"/>
      <c r="C16" s="18"/>
      <c r="D16" s="18"/>
      <c r="E16" s="18"/>
      <c r="F16" s="18"/>
      <c r="G16" s="18">
        <v>1</v>
      </c>
      <c r="H16" s="18"/>
      <c r="I16" s="18"/>
      <c r="J16" s="18"/>
      <c r="K16" s="18"/>
      <c r="L16" s="18"/>
      <c r="M16" s="18"/>
      <c r="N16" s="18"/>
      <c r="O16" s="18"/>
      <c r="P16" s="18"/>
      <c r="Q16" s="18"/>
      <c r="R16" s="18"/>
      <c r="S16" s="18"/>
      <c r="T16" s="19">
        <v>1</v>
      </c>
    </row>
    <row r="17" spans="1:20">
      <c r="A17" s="16" t="s">
        <v>97</v>
      </c>
      <c r="B17" s="17"/>
      <c r="C17" s="18"/>
      <c r="D17" s="18"/>
      <c r="E17" s="18"/>
      <c r="F17" s="18"/>
      <c r="G17" s="18"/>
      <c r="H17" s="18"/>
      <c r="I17" s="18"/>
      <c r="J17" s="18"/>
      <c r="K17" s="18"/>
      <c r="L17" s="18"/>
      <c r="M17" s="18"/>
      <c r="N17" s="18"/>
      <c r="O17" s="18"/>
      <c r="P17" s="18"/>
      <c r="Q17" s="18"/>
      <c r="R17" s="18">
        <v>1</v>
      </c>
      <c r="S17" s="18"/>
      <c r="T17" s="19">
        <v>1</v>
      </c>
    </row>
    <row r="18" spans="1:20">
      <c r="A18" s="16" t="s">
        <v>166</v>
      </c>
      <c r="B18" s="17">
        <v>1</v>
      </c>
      <c r="C18" s="18">
        <v>1</v>
      </c>
      <c r="D18" s="18"/>
      <c r="E18" s="18"/>
      <c r="F18" s="18"/>
      <c r="G18" s="18"/>
      <c r="H18" s="18"/>
      <c r="I18" s="18"/>
      <c r="J18" s="18"/>
      <c r="K18" s="18"/>
      <c r="L18" s="18"/>
      <c r="M18" s="18"/>
      <c r="N18" s="18"/>
      <c r="O18" s="18"/>
      <c r="P18" s="18"/>
      <c r="Q18" s="18"/>
      <c r="R18" s="18"/>
      <c r="S18" s="18"/>
      <c r="T18" s="19">
        <v>2</v>
      </c>
    </row>
    <row r="19" spans="1:20">
      <c r="A19" s="20" t="s">
        <v>42</v>
      </c>
      <c r="B19" s="21">
        <v>1</v>
      </c>
      <c r="C19" s="22">
        <v>1</v>
      </c>
      <c r="D19" s="22">
        <v>1</v>
      </c>
      <c r="E19" s="22">
        <v>1</v>
      </c>
      <c r="F19" s="22">
        <v>1</v>
      </c>
      <c r="G19" s="22">
        <v>1</v>
      </c>
      <c r="H19" s="22">
        <v>1</v>
      </c>
      <c r="I19" s="22">
        <v>1</v>
      </c>
      <c r="J19" s="22">
        <v>1</v>
      </c>
      <c r="K19" s="22">
        <v>1</v>
      </c>
      <c r="L19" s="22">
        <v>2</v>
      </c>
      <c r="M19" s="22">
        <v>3</v>
      </c>
      <c r="N19" s="22">
        <v>2</v>
      </c>
      <c r="O19" s="22">
        <v>1</v>
      </c>
      <c r="P19" s="22">
        <v>8</v>
      </c>
      <c r="Q19" s="22">
        <v>2</v>
      </c>
      <c r="R19" s="22">
        <v>5</v>
      </c>
      <c r="S19" s="22">
        <v>8</v>
      </c>
      <c r="T19" s="23">
        <v>41</v>
      </c>
    </row>
  </sheetData>
  <pageMargins left="0.7" right="0.7" top="0.75" bottom="0.75" header="0.3" footer="0.3"/>
  <pageSetup scale="75" orientation="landscape" r:id="rId2"/>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Regneark</vt:lpstr>
      </vt:variant>
      <vt:variant>
        <vt:i4>2</vt:i4>
      </vt:variant>
    </vt:vector>
  </HeadingPairs>
  <TitlesOfParts>
    <vt:vector size="2" baseType="lpstr">
      <vt:lpstr>Article Listing</vt:lpstr>
      <vt:lpstr>Overview</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Andreas Warberg</cp:lastModifiedBy>
  <cp:lastPrinted>2007-10-04T09:56:54Z</cp:lastPrinted>
  <dcterms:created xsi:type="dcterms:W3CDTF">2006-09-25T13:34:53Z</dcterms:created>
  <dcterms:modified xsi:type="dcterms:W3CDTF">2007-10-09T15:28:48Z</dcterms:modified>
</cp:coreProperties>
</file>