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8"/>
  <c r="O31"/>
  <c r="O17"/>
  <c r="O27"/>
  <c r="O37"/>
  <c r="O22"/>
  <c r="O4"/>
  <c r="O29"/>
  <c r="O6"/>
  <c r="O19"/>
  <c r="O39"/>
  <c r="O40"/>
  <c r="O11"/>
  <c r="O10"/>
  <c r="O36"/>
  <c r="O38"/>
  <c r="O41"/>
  <c r="O30"/>
  <c r="O13"/>
  <c r="O25"/>
  <c r="O18"/>
  <c r="O9"/>
  <c r="O14"/>
  <c r="O35"/>
  <c r="O32"/>
  <c r="O28"/>
  <c r="O24"/>
  <c r="O21"/>
  <c r="O20"/>
  <c r="O43"/>
  <c r="O15"/>
  <c r="O7"/>
  <c r="O12"/>
  <c r="O45"/>
  <c r="O42"/>
  <c r="O3"/>
  <c r="O2"/>
  <c r="O46"/>
  <c r="O23"/>
  <c r="O26"/>
  <c r="O33"/>
  <c r="O5"/>
  <c r="O48"/>
  <c r="O34"/>
  <c r="O16"/>
  <c r="O44"/>
  <c r="O49"/>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<sst xmlns="http://schemas.openxmlformats.org/spreadsheetml/2006/main" count="467" uniqueCount="320">
  <si>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</si>
  <si>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</si>
  <si>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</si>
  <si>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</si>
  <si>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</si>
  <si>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</si>
  <si>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</si>
  <si>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</si>
  <si>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</si>
  <si>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</si>
  <si>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</si>
  <si>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</si>
  <si>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</si>
  <si>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</si>
  <si>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</si>
  <si>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</si>
  <si>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</si>
  <si>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</si>
  <si>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</si>
  <si>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</si>
  <si>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</si>
  <si>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</si>
  <si>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</si>
  <si>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</si>
  <si>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</si>
  <si>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</si>
  <si>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</si>
  <si>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</si>
  <si>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</si>
  <si>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</si>
  <si>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</si>
  <si>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</si>
  <si>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</si>
  <si>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</si>
  <si>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</si>
  <si>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</si>
  <si>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</si>
  <si>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</si>
  <si>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</si>
  <si>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</si>
  <si>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</si>
  <si>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</si>
  <si>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</si>
  <si>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</si>
  <si>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</si>
  <si>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</si>
  <si>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</si>
  <si>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</si>
  <si>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</si>
  <si>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</si>
  <si>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</si>
  <si>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</si>
  <si>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</si>
  <si>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</si>
  <si>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</si>
  <si>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</si>
  <si>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</si>
  <si>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</si>
  <si>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</si>
  <si>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</si>
  <si>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</si>
  <si>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</si>
  <si>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</si>
  <si>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</si>
  <si>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</si>
  <si>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</si>
  <si>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</si>
  <si>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</si>
  <si>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</si>
  <si>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</si>
  <si>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</si>
  <si>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</si>
  <si>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</si>
  <si>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</si>
  <si>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</si>
  <si>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</si>
  <si>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</si>
  <si>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</si>
  <si>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</si>
  <si>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</si>
  <si>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</si>
  <si>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</si>
  <si>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</si>
  <si>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</si>
  <si>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</si>
  <si>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</si>
  <si>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</si>
  <si>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</si>
  <si>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</si>
  <si>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</si>
  <si>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</si>
  <si>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</si>
  <si>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</si>
  <si>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</si>
  <si>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</si>
  <si>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</si>
  <si>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</si>
  <si>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</si>
  <si>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</si>
  <si>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</si>
  <si>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</si>
  <si>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</si>
  <si>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</si>
  <si>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</si>
  <si>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</si>
  <si>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</si>
  <si>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</si>
  <si>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</si>
  <si>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</si>
  <si>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</si>
  <si>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</si>
  <si>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</si>
  <si>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</si>
  <si>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</si>
  <si>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</si>
  <si>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</si>
  <si>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</si>
  <si>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</si>
  <si>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</si>
  <si>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</si>
  <si>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</si>
  <si>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</si>
  <si>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</si>
  <si>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</si>
  <si>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</si>
  <si>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</si>
  <si>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</si>
  <si>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</si>
  <si>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</si>
  <si>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</si>
  <si>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</si>
  <si>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</si>
  <si>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</si>
  <si>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</si>
  <si>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</si>
  <si>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</si>
  <si>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</si>
  <si>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</si>
  <si>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</si>
  <si>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</si>
  <si>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</si>
  <si>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</si>
  <si>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</si>
  <si>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</si>
  <si>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</si>
  <si>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</si>
  <si>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</si>
  <si>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</si>
  <si>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</si>
  <si>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</si>
  <si>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</si>
  <si>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</si>
  <si>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</si>
  <si>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</si>
  <si>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</si>
  <si>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</si>
  <si>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</si>
  <si>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</si>
  <si>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</si>
  <si>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</si>
  <si>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</si>
  <si>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</si>
  <si>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</si>
  <si>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</si>
  <si>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</si>
  <si>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</si>
  <si>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</si>
  <si>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</si>
  <si>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</si>
  <si>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</si>
  <si>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</si>
  <si>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</si>
  <si>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</si>
  <si>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</si>
  <si>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</si>
  <si>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</si>
  <si>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</si>
  <si>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</si>
  <si>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</si>
  <si>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</si>
  <si>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</si>
  <si>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</si>
  <si>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</si>
  <si>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</si>
  <si>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</si>
  <si>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</si>
  <si>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</si>
  <si>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</si>
  <si>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</si>
  <si>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</si>
  <si>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</si>
  <si>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</si>
  <si>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</si>
  <si>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</si>
  <si>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</si>
  <si>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</si>
  <si>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</si>
  <si>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</si>
  <si>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</si>
  <si>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</si>
  <si>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</si>
  <si>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</si>
  <si>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</si>
  <si>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</si>
  <si>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</si>
  <si>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</si>
  <si>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</si>
  <si>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</si>
  <si>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</si>
  <si>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</si>
  <si>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</si>
  <si>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</si>
  <si>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</si>
  <si>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</si>
  <si>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</si>
  <si>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</si>
  <si>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</si>
  <si>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</si>
  <si>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</si>
  <si>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</si>
  <si>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</si>
  <si>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</si>
  <si>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</si>
  <si>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</si>
  <si>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</si>
  <si>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</si>
  <si>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</si>
  <si>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</si>
  <si>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</si>
  <si>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</si>
  <si>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</si>
  <si>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</si>
  <si>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</si>
  <si>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</si>
  <si>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</si>
  <si>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</si>
  <si>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</si>
  <si>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</si>
  <si>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</si>
  <si>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</si>
  <si>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</si>
  <si>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</si>
  <si>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</si>
  <si>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</si>
  <si>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</si>
  <si>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</si>
  <si>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</si>
  <si>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</si>
  <si>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</si>
  <si>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</si>
  <si>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</si>
  <si>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</si>
  <si>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</si>
  <si>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</si>
  <si>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</si>
  <si>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</si>
  <si>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</si>
  <si>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</si>
  <si>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</si>
  <si>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</si>
  <si>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</si>
  <si>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</si>
  <si>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</si>
  <si>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</si>
  <si>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</si>
  <si>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</si>
  <si>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</si>
  <si>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</si>
  <si>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</si>
  <si>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</si>
  <si>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</si>
  <si>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</si>
  <si>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</si>
  <si>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</si>
  <si>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</si>
  <si>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</si>
  <si>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</si>
  <si>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</si>
  <si>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</si>
  <si>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</si>
  <si>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</si>
  <si>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</si>
  <si>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</si>
  <si>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</si>
  <si>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</si>
  <si>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</si>
  <si>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</si>
  <si>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</si>
  <si>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</si>
  <si>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</si>
  <si>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</si>
  <si>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</si>
  <si>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</si>
  <si>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</si>
  <si>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</si>
  <si>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</si>
  <si>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</si>
  <si>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</si>
  <si>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</si>
  <si>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</si>
  <si>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</si>
  <si>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</si>
  <si>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</si>
  <si>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</si>
  <si>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</si>
  <si>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</si>
  <si>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</si>
  <si>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</si>
  <si>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</si>
  <si>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</si>
  <si>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</si>
  <si>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</si>
  <si>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</si>
  <si>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</si>
  <si>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</si>
  <si>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</si>
  <si>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</si>
  <si>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</si>
  <si>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</si>
  <si>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The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</si>
</sst>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56517760"/>
        <c:axId val="56519296"/>
      </c:barChart>
      <c:catAx>
        <c:axId val="56517760"/>
        <c:scaling>
          <c:orientation val="minMax"/>
        </c:scaling>
        <c:axPos val="b"/>
        <c:tickLblPos val="nextTo"/>
        <c:crossAx val="56519296"/>
        <c:crosses val="autoZero"/>
        <c:auto val="1"/>
        <c:lblAlgn val="ctr"/>
        <c:lblOffset val="100"/>
      </c:catAx>
      <c:valAx>
        <c:axId val="56519296"/>
        <c:scaling>
          <c:orientation val="minMax"/>
          <c:min val="0"/>
        </c:scaling>
        <c:axPos val="l"/>
        <c:majorGridlines/>
        <c:numFmt formatCode="General" sourceLinked="1"/>
        <c:tickLblPos val="nextTo"/>
        <c:crossAx val="56517760"/>
        <c:crosses val="autoZero"/>
        <c:crossBetween val="between"/>
        <c:majorUnit val="1"/>
      </c:valAx>
    </c:plotArea>
    <c:legend>
      <c:legendPos val="r"/>
    </c:legend>
    <c:plotVisOnly val="1"/>
  </c:chart>
  <c:printSettings>
    <c:headerFooter/>
    <c:pageMargins b="0.75000000000000433" l="0.70000000000000062" r="0.70000000000000062" t="0.75000000000000433"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A1:A49"/>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C16" zoomScale="70" zoomScaleNormal="70" workbookViewId="0">
      <selection activeCell="N17" sqref="N17"/>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217</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207</v>
      </c>
      <c r="L2" s="4" t="s">
        <v>6</v>
      </c>
      <c r="M2" s="1" t="s">
        <v>4</v>
      </c>
      <c r="O2" s="6" t="str">
        <f>COMMASEPCOUNT(Articles[[#This Row],[Cited in]])</f>
        <v/>
      </c>
      <c r="P2" s="8" t="s">
        <v>215</v>
      </c>
    </row>
    <row r="3" spans="1:16" ht="45">
      <c r="A3">
        <v>2</v>
      </c>
      <c r="B3" s="5" t="s">
        <v>5</v>
      </c>
      <c r="C3" s="5" t="s">
        <v>202</v>
      </c>
      <c r="D3" s="5" t="s">
        <v>85</v>
      </c>
      <c r="E3" s="5">
        <v>75</v>
      </c>
      <c r="F3" s="5" t="s">
        <v>203</v>
      </c>
      <c r="G3" s="5" t="s">
        <v>99</v>
      </c>
      <c r="H3" s="5" t="s">
        <v>205</v>
      </c>
      <c r="I3" s="5" t="s">
        <v>202</v>
      </c>
      <c r="J3" s="2">
        <v>2007</v>
      </c>
      <c r="K3" s="5" t="s">
        <v>206</v>
      </c>
      <c r="L3" s="5" t="s">
        <v>8</v>
      </c>
      <c r="M3" s="3" t="s">
        <v>7</v>
      </c>
      <c r="O3" s="6" t="str">
        <f>COMMASEPCOUNT(Articles[[#This Row],[Cited in]])</f>
        <v/>
      </c>
      <c r="P3" s="8" t="s">
        <v>204</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210</v>
      </c>
      <c r="G5" s="5" t="s">
        <v>99</v>
      </c>
      <c r="H5" s="5" t="s">
        <v>211</v>
      </c>
      <c r="I5" s="5" t="s">
        <v>96</v>
      </c>
      <c r="J5" s="2">
        <v>2000</v>
      </c>
      <c r="K5" s="5" t="s">
        <v>208</v>
      </c>
      <c r="L5" s="5" t="s">
        <v>12</v>
      </c>
      <c r="M5" s="3" t="s">
        <v>11</v>
      </c>
      <c r="O5" s="6" t="str">
        <f>COMMASEPCOUNT(Articles[[#This Row],[Cited in]])</f>
        <v/>
      </c>
      <c r="P5" s="8" t="s">
        <v>209</v>
      </c>
    </row>
    <row r="6" spans="1:16" ht="90">
      <c r="A6" s="2">
        <v>5</v>
      </c>
      <c r="B6" s="5" t="s">
        <v>15</v>
      </c>
      <c r="C6" s="5" t="s">
        <v>212</v>
      </c>
      <c r="D6" s="5" t="s">
        <v>91</v>
      </c>
      <c r="E6" s="5">
        <v>2</v>
      </c>
      <c r="F6" s="5" t="s">
        <v>140</v>
      </c>
      <c r="G6" s="5" t="s">
        <v>99</v>
      </c>
      <c r="H6" s="5" t="s">
        <v>214</v>
      </c>
      <c r="I6" s="5" t="s">
        <v>124</v>
      </c>
      <c r="J6" s="2">
        <v>2004</v>
      </c>
      <c r="K6" s="5" t="s">
        <v>225</v>
      </c>
      <c r="L6" s="5" t="s">
        <v>14</v>
      </c>
      <c r="M6" s="3" t="s">
        <v>13</v>
      </c>
      <c r="O6" s="6" t="str">
        <f>COMMASEPCOUNT(Articles[[#This Row],[Cited in]])</f>
        <v/>
      </c>
      <c r="P6" s="8" t="s">
        <v>216</v>
      </c>
    </row>
    <row r="7" spans="1:16" ht="45">
      <c r="A7" s="2">
        <v>6</v>
      </c>
      <c r="B7" s="5" t="s">
        <v>15</v>
      </c>
      <c r="C7" s="5"/>
      <c r="D7" s="5"/>
      <c r="E7" s="5"/>
      <c r="F7" s="5"/>
      <c r="G7" s="5"/>
      <c r="H7" s="5"/>
      <c r="I7" s="5"/>
      <c r="J7" s="2">
        <v>2004</v>
      </c>
      <c r="K7" s="5" t="s">
        <v>255</v>
      </c>
      <c r="L7" s="5" t="s">
        <v>25</v>
      </c>
      <c r="M7" s="3" t="s">
        <v>16</v>
      </c>
      <c r="O7" s="6" t="str">
        <f>COMMASEPCOUNT(Articles[[#This Row],[Cited in]])</f>
        <v/>
      </c>
      <c r="P7" s="8" t="s">
        <v>226</v>
      </c>
    </row>
    <row r="8" spans="1:16" ht="60">
      <c r="A8" s="2">
        <v>7</v>
      </c>
      <c r="B8" s="5" t="s">
        <v>5</v>
      </c>
      <c r="C8" s="5"/>
      <c r="D8" s="5"/>
      <c r="E8" s="5"/>
      <c r="F8" s="5"/>
      <c r="G8" s="5"/>
      <c r="H8" s="5"/>
      <c r="I8" s="5"/>
      <c r="J8" s="2">
        <v>2002</v>
      </c>
      <c r="K8" s="5" t="s">
        <v>256</v>
      </c>
      <c r="L8" s="5" t="s">
        <v>18</v>
      </c>
      <c r="M8" s="3" t="s">
        <v>17</v>
      </c>
      <c r="O8" s="6" t="str">
        <f>COMMASEPCOUNT(Articles[[#This Row],[Cited in]])</f>
        <v/>
      </c>
      <c r="P8" s="8" t="s">
        <v>81</v>
      </c>
    </row>
    <row r="9" spans="1:16" ht="60">
      <c r="A9" s="2">
        <v>8</v>
      </c>
      <c r="B9" s="5" t="s">
        <v>19</v>
      </c>
      <c r="C9" s="5" t="s">
        <v>172</v>
      </c>
      <c r="D9" s="5" t="s">
        <v>85</v>
      </c>
      <c r="E9" s="5"/>
      <c r="F9" s="5"/>
      <c r="G9" s="5"/>
      <c r="H9" s="5"/>
      <c r="I9" s="5"/>
      <c r="J9" s="2">
        <v>1996</v>
      </c>
      <c r="K9" s="5" t="s">
        <v>257</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258</v>
      </c>
      <c r="L10" s="5" t="s">
        <v>23</v>
      </c>
      <c r="M10" s="3" t="s">
        <v>22</v>
      </c>
      <c r="N10" t="s">
        <v>283</v>
      </c>
      <c r="O10" s="6">
        <f>COMMASEPCOUNT(Articles[[#This Row],[Cited in]])</f>
        <v>2</v>
      </c>
      <c r="P10" s="8" t="s">
        <v>86</v>
      </c>
    </row>
    <row r="11" spans="1:16" ht="90">
      <c r="A11" s="2">
        <v>10</v>
      </c>
      <c r="B11" s="5" t="s">
        <v>104</v>
      </c>
      <c r="C11" s="5" t="s">
        <v>106</v>
      </c>
      <c r="D11" s="5" t="s">
        <v>91</v>
      </c>
      <c r="E11" s="5">
        <v>1</v>
      </c>
      <c r="F11" s="5" t="s">
        <v>109</v>
      </c>
      <c r="G11" s="5" t="s">
        <v>241</v>
      </c>
      <c r="H11" s="5" t="s">
        <v>92</v>
      </c>
      <c r="I11" s="5" t="s">
        <v>108</v>
      </c>
      <c r="J11" s="2">
        <v>1986</v>
      </c>
      <c r="K11" s="5" t="s">
        <v>259</v>
      </c>
      <c r="L11" s="5" t="s">
        <v>254</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260</v>
      </c>
      <c r="L12" s="5" t="s">
        <v>27</v>
      </c>
      <c r="M12" s="3" t="s">
        <v>26</v>
      </c>
      <c r="O12" s="6" t="str">
        <f>COMMASEPCOUNT(Articles[[#This Row],[Cited in]])</f>
        <v/>
      </c>
      <c r="P12" s="8"/>
    </row>
    <row r="13" spans="1:16" ht="105">
      <c r="A13" s="2">
        <v>12</v>
      </c>
      <c r="B13" s="5" t="s">
        <v>19</v>
      </c>
      <c r="C13" s="5" t="s">
        <v>125</v>
      </c>
      <c r="D13" s="5" t="s">
        <v>85</v>
      </c>
      <c r="E13" s="5">
        <v>2</v>
      </c>
      <c r="F13" s="5" t="s">
        <v>126</v>
      </c>
      <c r="G13" s="5"/>
      <c r="H13" s="5" t="s">
        <v>128</v>
      </c>
      <c r="I13" s="5" t="s">
        <v>127</v>
      </c>
      <c r="J13" s="2">
        <v>2005</v>
      </c>
      <c r="K13" s="5" t="s">
        <v>225</v>
      </c>
      <c r="L13" s="5" t="s">
        <v>28</v>
      </c>
      <c r="M13" s="3" t="s">
        <v>29</v>
      </c>
      <c r="N13">
        <v>42</v>
      </c>
      <c r="O13" s="6">
        <f>COMMASEPCOUNT(Articles[[#This Row],[Cited in]])</f>
        <v>1</v>
      </c>
      <c r="P13" s="8" t="s">
        <v>129</v>
      </c>
    </row>
    <row r="14" spans="1:16" ht="90">
      <c r="A14" s="2">
        <v>13</v>
      </c>
      <c r="B14" s="5" t="s">
        <v>5</v>
      </c>
      <c r="C14" s="5"/>
      <c r="D14" s="5" t="s">
        <v>91</v>
      </c>
      <c r="E14" s="5">
        <v>16</v>
      </c>
      <c r="F14" s="5" t="s">
        <v>130</v>
      </c>
      <c r="G14" s="5"/>
      <c r="H14" s="5" t="s">
        <v>131</v>
      </c>
      <c r="I14" s="5" t="s">
        <v>102</v>
      </c>
      <c r="J14" s="2">
        <v>2004</v>
      </c>
      <c r="K14" s="5" t="s">
        <v>268</v>
      </c>
      <c r="L14" s="5" t="s">
        <v>31</v>
      </c>
      <c r="M14" s="3" t="s">
        <v>30</v>
      </c>
      <c r="O14" s="6" t="str">
        <f>COMMASEPCOUNT(Articles[[#This Row],[Cited in]])</f>
        <v/>
      </c>
      <c r="P14" s="8" t="s">
        <v>135</v>
      </c>
    </row>
    <row r="15" spans="1:16" ht="165">
      <c r="A15" s="2">
        <v>14</v>
      </c>
      <c r="B15" s="5" t="s">
        <v>34</v>
      </c>
      <c r="C15" s="5" t="s">
        <v>138</v>
      </c>
      <c r="D15" s="5" t="s">
        <v>137</v>
      </c>
      <c r="E15" s="5" t="s">
        <v>133</v>
      </c>
      <c r="F15" s="5" t="s">
        <v>134</v>
      </c>
      <c r="G15" s="5"/>
      <c r="H15" s="5" t="s">
        <v>92</v>
      </c>
      <c r="I15" s="5" t="s">
        <v>132</v>
      </c>
      <c r="J15" s="2">
        <v>2004</v>
      </c>
      <c r="K15" s="5" t="s">
        <v>261</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262</v>
      </c>
      <c r="L16" s="5" t="s">
        <v>36</v>
      </c>
      <c r="M16" s="3" t="s">
        <v>35</v>
      </c>
      <c r="O16" s="6" t="str">
        <f>COMMASEPCOUNT(Articles[[#This Row],[Cited in]])</f>
        <v/>
      </c>
      <c r="P16" s="8" t="s">
        <v>139</v>
      </c>
    </row>
    <row r="17" spans="1:16" ht="150">
      <c r="A17" s="2">
        <v>16</v>
      </c>
      <c r="B17" s="5" t="s">
        <v>15</v>
      </c>
      <c r="C17" s="5" t="s">
        <v>317</v>
      </c>
      <c r="D17" s="5" t="s">
        <v>91</v>
      </c>
      <c r="E17" s="5">
        <v>2</v>
      </c>
      <c r="F17" s="5" t="s">
        <v>318</v>
      </c>
      <c r="G17" s="5" t="s">
        <v>99</v>
      </c>
      <c r="H17" s="5" t="s">
        <v>316</v>
      </c>
      <c r="I17" s="5" t="s">
        <v>124</v>
      </c>
      <c r="J17" s="2">
        <v>2006</v>
      </c>
      <c r="K17" s="5" t="s">
        <v>250</v>
      </c>
      <c r="L17" s="5" t="s">
        <v>249</v>
      </c>
      <c r="M17" s="3" t="s">
        <v>248</v>
      </c>
      <c r="O17" s="6" t="str">
        <f>COMMASEPCOUNT(Articles[[#This Row],[Cited in]])</f>
        <v/>
      </c>
      <c r="P17" s="8" t="s">
        <v>319</v>
      </c>
    </row>
    <row r="18" spans="1:16" ht="45">
      <c r="A18" s="2">
        <v>17</v>
      </c>
      <c r="B18" s="5" t="s">
        <v>9</v>
      </c>
      <c r="C18" s="5"/>
      <c r="D18" s="5"/>
      <c r="E18" s="5"/>
      <c r="F18" s="5"/>
      <c r="G18" s="5"/>
      <c r="H18" s="5"/>
      <c r="I18" s="5"/>
      <c r="J18" s="2">
        <v>2004</v>
      </c>
      <c r="K18" s="5" t="s">
        <v>263</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263</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263</v>
      </c>
      <c r="L20" s="5" t="s">
        <v>45</v>
      </c>
      <c r="M20" s="3" t="s">
        <v>46</v>
      </c>
      <c r="O20" s="6" t="str">
        <f>COMMASEPCOUNT(Articles[[#This Row],[Cited in]])</f>
        <v/>
      </c>
      <c r="P20" s="8"/>
    </row>
    <row r="21" spans="1:16" ht="13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80">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164</v>
      </c>
    </row>
    <row r="23" spans="1:16" ht="75">
      <c r="A23">
        <v>22</v>
      </c>
      <c r="B23" s="4" t="s">
        <v>118</v>
      </c>
      <c r="C23" s="4" t="s">
        <v>157</v>
      </c>
      <c r="D23" s="4" t="s">
        <v>156</v>
      </c>
      <c r="E23" s="4">
        <v>24</v>
      </c>
      <c r="F23" s="4" t="s">
        <v>158</v>
      </c>
      <c r="G23" s="4" t="s">
        <v>99</v>
      </c>
      <c r="H23" s="4" t="s">
        <v>175</v>
      </c>
      <c r="I23" s="4" t="s">
        <v>124</v>
      </c>
      <c r="J23">
        <v>2007</v>
      </c>
      <c r="K23" s="4" t="s">
        <v>264</v>
      </c>
      <c r="L23" s="4" t="s">
        <v>52</v>
      </c>
      <c r="M23" s="1" t="s">
        <v>51</v>
      </c>
      <c r="O23" s="6" t="str">
        <f>COMMASEPCOUNT(Articles[[#This Row],[Cited in]])</f>
        <v/>
      </c>
      <c r="P23" s="8" t="s">
        <v>159</v>
      </c>
    </row>
    <row r="24" spans="1:16" ht="180">
      <c r="A24">
        <v>23</v>
      </c>
      <c r="B24" s="4" t="s">
        <v>19</v>
      </c>
      <c r="C24" s="4"/>
      <c r="D24" s="4" t="s">
        <v>85</v>
      </c>
      <c r="E24" s="4">
        <v>1</v>
      </c>
      <c r="F24" s="4" t="s">
        <v>140</v>
      </c>
      <c r="G24" s="4" t="s">
        <v>98</v>
      </c>
      <c r="H24" s="4" t="s">
        <v>304</v>
      </c>
      <c r="I24" s="4" t="s">
        <v>127</v>
      </c>
      <c r="J24">
        <v>2007</v>
      </c>
      <c r="K24" s="4" t="s">
        <v>181</v>
      </c>
      <c r="L24" s="4" t="s">
        <v>180</v>
      </c>
      <c r="M24" s="1" t="s">
        <v>179</v>
      </c>
      <c r="O24" s="6" t="str">
        <f>COMMASEPCOUNT(Articles[[#This Row],[Cited in]])</f>
        <v/>
      </c>
      <c r="P24" s="8" t="s">
        <v>303</v>
      </c>
    </row>
    <row r="25" spans="1:16" ht="90">
      <c r="A25">
        <v>24</v>
      </c>
      <c r="B25" s="4"/>
      <c r="C25" s="4" t="s">
        <v>307</v>
      </c>
      <c r="D25" s="4" t="s">
        <v>91</v>
      </c>
      <c r="E25" s="4">
        <v>4</v>
      </c>
      <c r="F25" s="4" t="s">
        <v>306</v>
      </c>
      <c r="G25" s="4" t="s">
        <v>99</v>
      </c>
      <c r="H25" s="4" t="s">
        <v>308</v>
      </c>
      <c r="I25" s="4" t="s">
        <v>124</v>
      </c>
      <c r="J25">
        <v>1996</v>
      </c>
      <c r="K25" s="4" t="s">
        <v>187</v>
      </c>
      <c r="L25" s="4" t="s">
        <v>183</v>
      </c>
      <c r="M25" s="1" t="s">
        <v>182</v>
      </c>
      <c r="N25">
        <v>26</v>
      </c>
      <c r="O25" s="6">
        <f>COMMASEPCOUNT(Articles[[#This Row],[Cited in]])</f>
        <v>1</v>
      </c>
      <c r="P25" s="8" t="s">
        <v>305</v>
      </c>
    </row>
    <row r="26" spans="1:16" ht="135">
      <c r="A26" s="2">
        <v>25</v>
      </c>
      <c r="B26" s="5" t="s">
        <v>55</v>
      </c>
      <c r="C26" s="5" t="s">
        <v>173</v>
      </c>
      <c r="D26" s="5" t="s">
        <v>169</v>
      </c>
      <c r="E26" s="5">
        <v>1</v>
      </c>
      <c r="F26" s="5" t="s">
        <v>170</v>
      </c>
      <c r="G26" s="5" t="s">
        <v>171</v>
      </c>
      <c r="H26" s="5" t="s">
        <v>166</v>
      </c>
      <c r="I26" s="5" t="s">
        <v>165</v>
      </c>
      <c r="J26" s="2">
        <v>2006</v>
      </c>
      <c r="K26" s="3" t="s">
        <v>167</v>
      </c>
      <c r="L26" s="5" t="s">
        <v>54</v>
      </c>
      <c r="M26" s="3" t="s">
        <v>53</v>
      </c>
      <c r="O26" s="6" t="str">
        <f>COMMASEPCOUNT(Articles[[#This Row],[Cited in]])</f>
        <v/>
      </c>
      <c r="P26" s="8" t="s">
        <v>168</v>
      </c>
    </row>
    <row r="27" spans="1:16" ht="240.75" customHeight="1">
      <c r="A27">
        <v>26</v>
      </c>
      <c r="B27" s="4" t="s">
        <v>5</v>
      </c>
      <c r="C27" s="4" t="s">
        <v>174</v>
      </c>
      <c r="D27" s="4" t="s">
        <v>91</v>
      </c>
      <c r="E27" s="4">
        <v>6</v>
      </c>
      <c r="F27" s="4" t="s">
        <v>177</v>
      </c>
      <c r="G27" s="4" t="s">
        <v>99</v>
      </c>
      <c r="H27" s="4" t="s">
        <v>213</v>
      </c>
      <c r="I27" s="4" t="s">
        <v>174</v>
      </c>
      <c r="J27">
        <v>2006</v>
      </c>
      <c r="K27" s="3" t="s">
        <v>150</v>
      </c>
      <c r="L27" s="4" t="s">
        <v>57</v>
      </c>
      <c r="M27" s="1" t="s">
        <v>56</v>
      </c>
      <c r="O27" s="6" t="str">
        <f>COMMASEPCOUNT(Articles[[#This Row],[Cited in]])</f>
        <v/>
      </c>
      <c r="P27" s="8" t="s">
        <v>176</v>
      </c>
    </row>
    <row r="28" spans="1:16" ht="45">
      <c r="A28">
        <v>27</v>
      </c>
      <c r="B28" s="4" t="s">
        <v>5</v>
      </c>
      <c r="C28" s="4" t="s">
        <v>174</v>
      </c>
      <c r="D28" s="4" t="s">
        <v>91</v>
      </c>
      <c r="E28" s="4" t="s">
        <v>184</v>
      </c>
      <c r="F28" s="4" t="s">
        <v>185</v>
      </c>
      <c r="G28" s="4" t="s">
        <v>188</v>
      </c>
      <c r="H28" s="4" t="s">
        <v>186</v>
      </c>
      <c r="I28" s="4">
        <v>26</v>
      </c>
      <c r="J28">
        <v>2004</v>
      </c>
      <c r="K28" s="4" t="s">
        <v>187</v>
      </c>
      <c r="L28" s="4" t="s">
        <v>59</v>
      </c>
      <c r="M28" s="1" t="s">
        <v>58</v>
      </c>
      <c r="O28" s="6" t="str">
        <f>COMMASEPCOUNT(Articles[[#This Row],[Cited in]])</f>
        <v/>
      </c>
      <c r="P28" s="8" t="s">
        <v>228</v>
      </c>
    </row>
    <row r="29" spans="1:16" ht="75">
      <c r="A29">
        <v>28</v>
      </c>
      <c r="B29" s="4" t="s">
        <v>15</v>
      </c>
      <c r="C29" s="4" t="s">
        <v>232</v>
      </c>
      <c r="D29" s="4" t="s">
        <v>91</v>
      </c>
      <c r="E29" s="4">
        <v>9</v>
      </c>
      <c r="F29" s="4" t="s">
        <v>101</v>
      </c>
      <c r="G29" s="4" t="s">
        <v>99</v>
      </c>
      <c r="H29" s="4" t="s">
        <v>231</v>
      </c>
      <c r="I29" s="4" t="s">
        <v>124</v>
      </c>
      <c r="J29">
        <v>1975</v>
      </c>
      <c r="K29" s="4" t="s">
        <v>233</v>
      </c>
      <c r="L29" s="4" t="s">
        <v>61</v>
      </c>
      <c r="M29" s="1" t="s">
        <v>60</v>
      </c>
      <c r="N29">
        <v>24</v>
      </c>
      <c r="O29" s="6">
        <f>COMMASEPCOUNT(Articles[[#This Row],[Cited in]])</f>
        <v>1</v>
      </c>
      <c r="P29" s="8" t="s">
        <v>230</v>
      </c>
    </row>
    <row r="30" spans="1:16" ht="45">
      <c r="A30">
        <v>29</v>
      </c>
      <c r="B30" s="4" t="s">
        <v>55</v>
      </c>
      <c r="C30" s="4"/>
      <c r="D30" s="4"/>
      <c r="E30" s="4"/>
      <c r="F30" s="4"/>
      <c r="G30" s="4"/>
      <c r="H30" s="4"/>
      <c r="I30" s="4"/>
      <c r="J30">
        <v>2000</v>
      </c>
      <c r="K30" s="4" t="s">
        <v>265</v>
      </c>
      <c r="L30" s="4" t="s">
        <v>63</v>
      </c>
      <c r="M30" s="1" t="s">
        <v>62</v>
      </c>
      <c r="N30">
        <v>2</v>
      </c>
      <c r="O30" s="6">
        <f>COMMASEPCOUNT(Articles[[#This Row],[Cited in]])</f>
        <v>1</v>
      </c>
      <c r="P30" s="8"/>
    </row>
    <row r="31" spans="1:16" ht="195">
      <c r="A31">
        <v>30</v>
      </c>
      <c r="B31" s="4" t="s">
        <v>15</v>
      </c>
      <c r="C31" s="4" t="s">
        <v>235</v>
      </c>
      <c r="D31" s="4" t="s">
        <v>91</v>
      </c>
      <c r="E31" s="4" t="s">
        <v>236</v>
      </c>
      <c r="F31" s="4" t="s">
        <v>237</v>
      </c>
      <c r="G31" s="4" t="s">
        <v>99</v>
      </c>
      <c r="H31" s="4" t="s">
        <v>239</v>
      </c>
      <c r="I31" s="4" t="s">
        <v>124</v>
      </c>
      <c r="J31">
        <v>1975</v>
      </c>
      <c r="K31" s="4" t="s">
        <v>233</v>
      </c>
      <c r="L31" s="4" t="s">
        <v>61</v>
      </c>
      <c r="M31" s="1" t="s">
        <v>229</v>
      </c>
      <c r="N31">
        <v>24</v>
      </c>
      <c r="O31" s="6">
        <f>COMMASEPCOUNT(Articles[[#This Row],[Cited in]])</f>
        <v>1</v>
      </c>
      <c r="P31" s="8" t="s">
        <v>238</v>
      </c>
    </row>
    <row r="32" spans="1:16" ht="150">
      <c r="A32">
        <v>31</v>
      </c>
      <c r="B32" s="4" t="s">
        <v>5</v>
      </c>
      <c r="C32" s="4" t="s">
        <v>315</v>
      </c>
      <c r="D32" s="4" t="s">
        <v>91</v>
      </c>
      <c r="E32" s="4" t="s">
        <v>311</v>
      </c>
      <c r="F32" s="4" t="s">
        <v>312</v>
      </c>
      <c r="G32" s="4" t="s">
        <v>313</v>
      </c>
      <c r="H32" s="4" t="s">
        <v>274</v>
      </c>
      <c r="I32" s="4" t="s">
        <v>309</v>
      </c>
      <c r="J32">
        <v>2004</v>
      </c>
      <c r="K32" s="4" t="s">
        <v>266</v>
      </c>
      <c r="L32" s="4" t="s">
        <v>67</v>
      </c>
      <c r="M32" s="1" t="s">
        <v>66</v>
      </c>
      <c r="N32">
        <v>2</v>
      </c>
      <c r="O32" s="6">
        <f>COMMASEPCOUNT(Articles[[#This Row],[Cited in]])</f>
        <v>1</v>
      </c>
      <c r="P32" s="8" t="s">
        <v>310</v>
      </c>
    </row>
    <row r="33" spans="1:16" ht="30">
      <c r="A33" s="2">
        <v>32</v>
      </c>
      <c r="B33" s="5" t="s">
        <v>68</v>
      </c>
      <c r="C33" s="4"/>
      <c r="D33" s="5"/>
      <c r="E33" s="5"/>
      <c r="F33" s="5"/>
      <c r="G33" s="5"/>
      <c r="H33" s="4"/>
      <c r="I33" s="5"/>
      <c r="J33" s="2">
        <v>1977</v>
      </c>
      <c r="K33" s="5"/>
      <c r="L33" s="5" t="s">
        <v>70</v>
      </c>
      <c r="M33" s="3" t="s">
        <v>69</v>
      </c>
      <c r="N33">
        <v>2</v>
      </c>
      <c r="O33" s="6">
        <f>COMMASEPCOUNT(Articles[[#This Row],[Cited in]])</f>
        <v>1</v>
      </c>
    </row>
    <row r="34" spans="1:16" ht="45">
      <c r="A34">
        <v>33</v>
      </c>
      <c r="B34" s="4" t="s">
        <v>5</v>
      </c>
      <c r="C34" s="4" t="s">
        <v>174</v>
      </c>
      <c r="D34" s="4" t="s">
        <v>91</v>
      </c>
      <c r="E34" s="4" t="s">
        <v>184</v>
      </c>
      <c r="F34" s="4" t="s">
        <v>185</v>
      </c>
      <c r="G34" s="4" t="s">
        <v>188</v>
      </c>
      <c r="H34" s="4" t="s">
        <v>186</v>
      </c>
      <c r="I34" s="4">
        <v>26</v>
      </c>
      <c r="J34">
        <v>2004</v>
      </c>
      <c r="K34" s="4" t="s">
        <v>187</v>
      </c>
      <c r="L34" s="4" t="s">
        <v>71</v>
      </c>
      <c r="M34" s="1" t="s">
        <v>72</v>
      </c>
      <c r="N34" t="s">
        <v>178</v>
      </c>
      <c r="O34" s="6">
        <f>COMMASEPCOUNT(Articles[[#This Row],[Cited in]])</f>
        <v>4</v>
      </c>
      <c r="P34" s="8" t="s">
        <v>194</v>
      </c>
    </row>
    <row r="35" spans="1:16" ht="30">
      <c r="A35" s="2">
        <v>34</v>
      </c>
      <c r="B35" s="5" t="s">
        <v>118</v>
      </c>
      <c r="C35" s="5" t="s">
        <v>174</v>
      </c>
      <c r="D35" s="5" t="s">
        <v>91</v>
      </c>
      <c r="E35" s="4" t="s">
        <v>184</v>
      </c>
      <c r="F35" s="4" t="s">
        <v>185</v>
      </c>
      <c r="G35" s="4" t="s">
        <v>188</v>
      </c>
      <c r="H35" s="4" t="s">
        <v>186</v>
      </c>
      <c r="I35" s="4">
        <v>26</v>
      </c>
      <c r="J35" s="2">
        <v>1999</v>
      </c>
      <c r="K35" s="5" t="s">
        <v>190</v>
      </c>
      <c r="L35" s="5" t="s">
        <v>52</v>
      </c>
      <c r="M35" s="3" t="s">
        <v>73</v>
      </c>
      <c r="N35" s="2" t="s">
        <v>189</v>
      </c>
      <c r="O35" s="7">
        <f>COMMASEPCOUNT(Articles[[#This Row],[Cited in]])</f>
        <v>4</v>
      </c>
      <c r="P35" s="8"/>
    </row>
    <row r="36" spans="1:16" ht="70.5" customHeight="1">
      <c r="A36">
        <v>35</v>
      </c>
      <c r="B36" s="4" t="s">
        <v>5</v>
      </c>
      <c r="C36" s="4"/>
      <c r="D36" s="4"/>
      <c r="E36" s="4"/>
      <c r="F36" s="4"/>
      <c r="G36" s="4"/>
      <c r="H36" s="4"/>
      <c r="I36" s="4" t="s">
        <v>301</v>
      </c>
      <c r="J36">
        <v>2003</v>
      </c>
      <c r="K36" s="4" t="s">
        <v>267</v>
      </c>
      <c r="L36" s="4" t="s">
        <v>74</v>
      </c>
      <c r="M36" s="1" t="s">
        <v>75</v>
      </c>
      <c r="O36" s="6" t="str">
        <f>COMMASEPCOUNT(Articles[[#This Row],[Cited in]])</f>
        <v/>
      </c>
      <c r="P36" s="8" t="s">
        <v>302</v>
      </c>
    </row>
    <row r="37" spans="1:16" ht="120">
      <c r="A37">
        <v>36</v>
      </c>
      <c r="B37" s="4" t="s">
        <v>15</v>
      </c>
      <c r="C37" s="4"/>
      <c r="D37" s="4" t="s">
        <v>91</v>
      </c>
      <c r="E37" s="4" t="s">
        <v>124</v>
      </c>
      <c r="F37" s="4" t="s">
        <v>124</v>
      </c>
      <c r="G37" s="4" t="s">
        <v>271</v>
      </c>
      <c r="H37" s="4" t="s">
        <v>274</v>
      </c>
      <c r="I37" s="4" t="s">
        <v>124</v>
      </c>
      <c r="J37">
        <v>1995</v>
      </c>
      <c r="K37" s="4" t="s">
        <v>268</v>
      </c>
      <c r="L37" s="4" t="s">
        <v>76</v>
      </c>
      <c r="M37" s="1" t="s">
        <v>77</v>
      </c>
      <c r="N37">
        <v>5</v>
      </c>
      <c r="O37" s="6">
        <f>COMMASEPCOUNT(Articles[[#This Row],[Cited in]])</f>
        <v>1</v>
      </c>
      <c r="P37" s="8" t="s">
        <v>270</v>
      </c>
    </row>
    <row r="38" spans="1:16" ht="120">
      <c r="A38" s="2">
        <v>37</v>
      </c>
      <c r="B38" s="5" t="s">
        <v>15</v>
      </c>
      <c r="C38" s="5" t="s">
        <v>278</v>
      </c>
      <c r="D38" s="5" t="s">
        <v>91</v>
      </c>
      <c r="E38" s="5" t="s">
        <v>280</v>
      </c>
      <c r="F38" s="5" t="s">
        <v>281</v>
      </c>
      <c r="G38" s="5" t="s">
        <v>99</v>
      </c>
      <c r="H38" s="5" t="s">
        <v>282</v>
      </c>
      <c r="I38" s="5" t="s">
        <v>124</v>
      </c>
      <c r="J38" s="2">
        <v>2002</v>
      </c>
      <c r="K38" s="5" t="s">
        <v>269</v>
      </c>
      <c r="L38" s="5" t="s">
        <v>78</v>
      </c>
      <c r="M38" s="3" t="s">
        <v>79</v>
      </c>
      <c r="N38" s="2">
        <v>6</v>
      </c>
      <c r="O38" s="7">
        <f>COMMASEPCOUNT(Articles[[#This Row],[Cited in]])</f>
        <v>1</v>
      </c>
      <c r="P38" s="8" t="s">
        <v>279</v>
      </c>
    </row>
    <row r="39" spans="1:16" ht="90">
      <c r="A39" s="2">
        <v>38</v>
      </c>
      <c r="B39" s="5" t="s">
        <v>118</v>
      </c>
      <c r="C39" s="5" t="s">
        <v>116</v>
      </c>
      <c r="D39" s="5" t="s">
        <v>85</v>
      </c>
      <c r="E39" s="5">
        <v>1</v>
      </c>
      <c r="F39" s="5" t="s">
        <v>114</v>
      </c>
      <c r="G39" s="5" t="s">
        <v>98</v>
      </c>
      <c r="H39" s="5" t="s">
        <v>92</v>
      </c>
      <c r="I39" s="5" t="s">
        <v>115</v>
      </c>
      <c r="J39" s="2">
        <v>2007</v>
      </c>
      <c r="K39" s="5" t="s">
        <v>225</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205</v>
      </c>
      <c r="I40" s="5" t="s">
        <v>124</v>
      </c>
      <c r="J40" s="2">
        <v>2006</v>
      </c>
      <c r="K40" s="5" t="s">
        <v>152</v>
      </c>
      <c r="L40" s="5" t="s">
        <v>120</v>
      </c>
      <c r="M40" s="3" t="s">
        <v>121</v>
      </c>
      <c r="N40" s="2"/>
      <c r="O40" s="7" t="str">
        <f>COMMASEPCOUNT(Articles[[#This Row],[Cited in]])</f>
        <v/>
      </c>
      <c r="P40" s="8" t="s">
        <v>300</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253</v>
      </c>
      <c r="D42" s="5" t="s">
        <v>91</v>
      </c>
      <c r="E42" s="5">
        <v>1</v>
      </c>
      <c r="F42" s="5" t="s">
        <v>251</v>
      </c>
      <c r="G42" s="5" t="s">
        <v>99</v>
      </c>
      <c r="H42" s="5" t="s">
        <v>275</v>
      </c>
      <c r="I42" s="5" t="s">
        <v>124</v>
      </c>
      <c r="J42" s="2">
        <v>2003</v>
      </c>
      <c r="K42" s="5" t="s">
        <v>193</v>
      </c>
      <c r="L42" s="5" t="s">
        <v>192</v>
      </c>
      <c r="M42" s="1" t="s">
        <v>191</v>
      </c>
      <c r="N42" s="2"/>
      <c r="O42" s="7" t="str">
        <f>COMMASEPCOUNT(Articles[[#This Row],[Cited in]])</f>
        <v/>
      </c>
      <c r="P42" s="8" t="s">
        <v>252</v>
      </c>
    </row>
    <row r="43" spans="1:16" ht="180">
      <c r="A43" s="2">
        <v>42</v>
      </c>
      <c r="B43" s="5" t="s">
        <v>195</v>
      </c>
      <c r="C43" s="5" t="s">
        <v>272</v>
      </c>
      <c r="D43" s="5" t="s">
        <v>91</v>
      </c>
      <c r="E43" s="4">
        <v>2</v>
      </c>
      <c r="F43" s="4" t="s">
        <v>273</v>
      </c>
      <c r="G43" s="5" t="s">
        <v>99</v>
      </c>
      <c r="H43" s="5" t="s">
        <v>275</v>
      </c>
      <c r="I43" s="5" t="s">
        <v>276</v>
      </c>
      <c r="J43" s="2">
        <v>2006</v>
      </c>
      <c r="K43" s="5" t="s">
        <v>198</v>
      </c>
      <c r="L43" s="5" t="s">
        <v>197</v>
      </c>
      <c r="M43" s="1" t="s">
        <v>196</v>
      </c>
      <c r="N43" s="2"/>
      <c r="O43" s="7" t="str">
        <f>COMMASEPCOUNT(Articles[[#This Row],[Cited in]])</f>
        <v/>
      </c>
      <c r="P43" s="8" t="s">
        <v>277</v>
      </c>
    </row>
    <row r="44" spans="1:16" ht="105">
      <c r="A44" s="2">
        <v>43</v>
      </c>
      <c r="B44" s="5" t="s">
        <v>5</v>
      </c>
      <c r="C44" s="5" t="s">
        <v>240</v>
      </c>
      <c r="D44" s="5" t="s">
        <v>246</v>
      </c>
      <c r="E44" s="5" t="s">
        <v>285</v>
      </c>
      <c r="F44" s="5" t="s">
        <v>247</v>
      </c>
      <c r="G44" s="5" t="s">
        <v>243</v>
      </c>
      <c r="H44" s="5" t="s">
        <v>242</v>
      </c>
      <c r="I44" s="5" t="s">
        <v>244</v>
      </c>
      <c r="J44" s="2">
        <v>1992</v>
      </c>
      <c r="K44" s="5" t="s">
        <v>201</v>
      </c>
      <c r="L44" s="5" t="s">
        <v>200</v>
      </c>
      <c r="M44" s="1" t="s">
        <v>199</v>
      </c>
      <c r="N44" s="2"/>
      <c r="O44" s="7" t="str">
        <f>COMMASEPCOUNT(Articles[[#This Row],[Cited in]])</f>
        <v/>
      </c>
      <c r="P44" s="8" t="s">
        <v>245</v>
      </c>
    </row>
    <row r="45" spans="1:16" ht="45">
      <c r="A45" s="2">
        <v>44</v>
      </c>
      <c r="B45" s="5" t="s">
        <v>19</v>
      </c>
      <c r="C45" s="5" t="s">
        <v>221</v>
      </c>
      <c r="D45" s="5" t="s">
        <v>85</v>
      </c>
      <c r="E45" s="5">
        <v>9</v>
      </c>
      <c r="F45" s="5" t="s">
        <v>295</v>
      </c>
      <c r="G45" s="5" t="s">
        <v>98</v>
      </c>
      <c r="H45" s="5"/>
      <c r="I45" s="5"/>
      <c r="J45" s="2">
        <v>2001</v>
      </c>
      <c r="K45" s="5" t="s">
        <v>220</v>
      </c>
      <c r="L45" s="5" t="s">
        <v>219</v>
      </c>
      <c r="M45" s="1" t="s">
        <v>218</v>
      </c>
      <c r="N45" s="2">
        <v>1</v>
      </c>
      <c r="O45" s="7">
        <f>COMMASEPCOUNT(Articles[[#This Row],[Cited in]])</f>
        <v>1</v>
      </c>
      <c r="P45" s="8" t="s">
        <v>294</v>
      </c>
    </row>
    <row r="46" spans="1:16" ht="30">
      <c r="A46" s="2">
        <v>45</v>
      </c>
      <c r="B46" s="5"/>
      <c r="C46" s="5" t="s">
        <v>172</v>
      </c>
      <c r="D46" s="5" t="s">
        <v>85</v>
      </c>
      <c r="E46" s="5"/>
      <c r="F46" s="5"/>
      <c r="G46" s="5"/>
      <c r="H46" s="5"/>
      <c r="I46" s="5"/>
      <c r="J46" s="2">
        <v>1999</v>
      </c>
      <c r="K46" s="5" t="s">
        <v>224</v>
      </c>
      <c r="L46" s="5" t="s">
        <v>223</v>
      </c>
      <c r="M46" s="1" t="s">
        <v>222</v>
      </c>
      <c r="N46" s="2"/>
      <c r="O46" s="7" t="str">
        <f>COMMASEPCOUNT(Articles[[#This Row],[Cited in]])</f>
        <v/>
      </c>
      <c r="P46" s="8"/>
    </row>
    <row r="47" spans="1:16" ht="75">
      <c r="A47" s="2">
        <v>46</v>
      </c>
      <c r="B47" s="5" t="s">
        <v>19</v>
      </c>
      <c r="C47" s="5" t="s">
        <v>284</v>
      </c>
      <c r="D47" s="5" t="s">
        <v>85</v>
      </c>
      <c r="E47" s="5">
        <v>16</v>
      </c>
      <c r="F47" s="5" t="s">
        <v>286</v>
      </c>
      <c r="G47" s="5" t="s">
        <v>287</v>
      </c>
      <c r="H47" s="5" t="s">
        <v>288</v>
      </c>
      <c r="I47" s="5" t="s">
        <v>124</v>
      </c>
      <c r="J47" s="2">
        <v>1995</v>
      </c>
      <c r="K47" s="5" t="s">
        <v>290</v>
      </c>
      <c r="L47" s="5" t="s">
        <v>291</v>
      </c>
      <c r="M47" s="3" t="s">
        <v>292</v>
      </c>
      <c r="N47" s="2"/>
      <c r="O47" s="7" t="str">
        <f>COMMASEPCOUNT(Articles[[#This Row],[Cited in]])</f>
        <v/>
      </c>
      <c r="P47" s="8" t="s">
        <v>293</v>
      </c>
    </row>
    <row r="48" spans="1:16" ht="45">
      <c r="A48" s="2" t="s">
        <v>146</v>
      </c>
      <c r="B48" s="5"/>
      <c r="C48" s="5"/>
      <c r="D48" s="5"/>
      <c r="E48" s="5"/>
      <c r="F48" s="5"/>
      <c r="G48" s="5"/>
      <c r="H48" s="5"/>
      <c r="I48" s="5"/>
      <c r="J48" s="2">
        <v>1952</v>
      </c>
      <c r="K48" s="5" t="s">
        <v>151</v>
      </c>
      <c r="L48" s="5" t="s">
        <v>144</v>
      </c>
      <c r="M48" s="3" t="s">
        <v>227</v>
      </c>
      <c r="N48" s="2" t="s">
        <v>234</v>
      </c>
      <c r="O48" s="7">
        <f>COMMASEPCOUNT(Articles[[#This Row],[Cited in]])</f>
        <v>2</v>
      </c>
      <c r="P48" s="8" t="s">
        <v>299</v>
      </c>
    </row>
    <row r="49" spans="1:16" ht="45">
      <c r="A49" s="2" t="s">
        <v>147</v>
      </c>
      <c r="B49" s="5" t="s">
        <v>296</v>
      </c>
      <c r="C49" s="5" t="s">
        <v>297</v>
      </c>
      <c r="D49" s="5" t="s">
        <v>91</v>
      </c>
      <c r="E49" s="5"/>
      <c r="F49" s="5"/>
      <c r="G49" s="5"/>
      <c r="H49" s="5"/>
      <c r="I49" s="5"/>
      <c r="J49" s="2">
        <v>1958</v>
      </c>
      <c r="K49" s="5" t="s">
        <v>289</v>
      </c>
      <c r="L49" s="5" t="s">
        <v>110</v>
      </c>
      <c r="M49" s="3" t="s">
        <v>111</v>
      </c>
      <c r="N49" s="2" t="s">
        <v>314</v>
      </c>
      <c r="O49" s="7">
        <f>COMMASEPCOUNT(Articles[[#This Row],[Cited in]])</f>
        <v>8</v>
      </c>
      <c r="P49" s="8" t="s">
        <v>298</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195</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2007-11-04T16:52:08Z</dcterms:modified>
</cp:coreProperties>
</file>